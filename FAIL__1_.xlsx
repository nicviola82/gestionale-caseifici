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Dynabook\Desktop\"/>
    </mc:Choice>
  </mc:AlternateContent>
  <xr:revisionPtr revIDLastSave="0" documentId="8_{5D648FFD-595F-4342-A162-024608B457FF}" xr6:coauthVersionLast="46" xr6:coauthVersionMax="46" xr10:uidLastSave="{00000000-0000-0000-0000-000000000000}"/>
  <bookViews>
    <workbookView xWindow="13695" yWindow="3660" windowWidth="13905" windowHeight="11835" xr2:uid="{00000000-000D-0000-FFFF-FFFF00000000}"/>
  </bookViews>
  <sheets>
    <sheet name="MBC1" sheetId="11" r:id="rId1"/>
    <sheet name="tr1" sheetId="18" r:id="rId2"/>
    <sheet name="RBC1" sheetId="25" r:id="rId3"/>
  </sheets>
  <calcPr calcId="191029"/>
</workbook>
</file>

<file path=xl/calcChain.xml><?xml version="1.0" encoding="utf-8"?>
<calcChain xmlns="http://schemas.openxmlformats.org/spreadsheetml/2006/main">
  <c r="H78" i="25" l="1"/>
  <c r="H41" i="25" s="1"/>
  <c r="K51" i="25" s="1"/>
  <c r="C5" i="25"/>
  <c r="D72" i="18"/>
  <c r="F72" i="18" s="1"/>
  <c r="D71" i="18"/>
  <c r="J71" i="18" s="1"/>
  <c r="D70" i="18"/>
  <c r="J58" i="18"/>
  <c r="G58" i="18"/>
  <c r="I58" i="18" s="1"/>
  <c r="L57" i="18"/>
  <c r="K57" i="18"/>
  <c r="J57" i="18"/>
  <c r="G57" i="18"/>
  <c r="I57" i="18" s="1"/>
  <c r="E57" i="18"/>
  <c r="C57" i="18"/>
  <c r="B57" i="18"/>
  <c r="G47" i="18"/>
  <c r="D47" i="18"/>
  <c r="B47" i="18"/>
  <c r="G46" i="18"/>
  <c r="J46" i="18" s="1"/>
  <c r="B46" i="18"/>
  <c r="G45" i="18"/>
  <c r="H45" i="18" s="1"/>
  <c r="B45" i="18"/>
  <c r="G44" i="18"/>
  <c r="K44" i="18" s="1"/>
  <c r="D44" i="18"/>
  <c r="B44" i="18"/>
  <c r="G43" i="18"/>
  <c r="D43" i="18"/>
  <c r="B43" i="18"/>
  <c r="G42" i="18"/>
  <c r="D42" i="18"/>
  <c r="B42" i="18"/>
  <c r="G41" i="18"/>
  <c r="J41" i="18" s="1"/>
  <c r="D41" i="18"/>
  <c r="B41" i="18"/>
  <c r="G40" i="18"/>
  <c r="K40" i="18" s="1"/>
  <c r="D40" i="18"/>
  <c r="B40" i="18"/>
  <c r="G39" i="18"/>
  <c r="K39" i="18" s="1"/>
  <c r="D39" i="18"/>
  <c r="B39" i="18"/>
  <c r="G38" i="18"/>
  <c r="D38" i="18"/>
  <c r="B38" i="18"/>
  <c r="G37" i="18"/>
  <c r="D37" i="18"/>
  <c r="B37" i="18"/>
  <c r="G36" i="18"/>
  <c r="D36" i="18"/>
  <c r="B36" i="18"/>
  <c r="G35" i="18"/>
  <c r="I35" i="18" s="1"/>
  <c r="D35" i="18"/>
  <c r="B35" i="18"/>
  <c r="G34" i="18"/>
  <c r="I34" i="18" s="1"/>
  <c r="D34" i="18"/>
  <c r="B34" i="18"/>
  <c r="G33" i="18"/>
  <c r="H33" i="18" s="1"/>
  <c r="D33" i="18"/>
  <c r="B33" i="18"/>
  <c r="G32" i="18"/>
  <c r="I32" i="18" s="1"/>
  <c r="D32" i="18"/>
  <c r="B32" i="18"/>
  <c r="G31" i="18"/>
  <c r="K31" i="18" s="1"/>
  <c r="D31" i="18"/>
  <c r="B31" i="18"/>
  <c r="G30" i="18"/>
  <c r="D30" i="18"/>
  <c r="B30" i="18"/>
  <c r="G29" i="18"/>
  <c r="H29" i="18" s="1"/>
  <c r="D29" i="18"/>
  <c r="B29" i="18"/>
  <c r="G28" i="18"/>
  <c r="D28" i="18"/>
  <c r="B28" i="18"/>
  <c r="K27" i="18"/>
  <c r="H27" i="18"/>
  <c r="G27" i="18"/>
  <c r="J27" i="18" s="1"/>
  <c r="D27" i="18"/>
  <c r="B27" i="18"/>
  <c r="K26" i="18"/>
  <c r="J26" i="18"/>
  <c r="G26" i="18"/>
  <c r="I26" i="18" s="1"/>
  <c r="D26" i="18"/>
  <c r="B26" i="18"/>
  <c r="K25" i="18"/>
  <c r="J25" i="18"/>
  <c r="I25" i="18"/>
  <c r="G25" i="18"/>
  <c r="H25" i="18" s="1"/>
  <c r="D25" i="18"/>
  <c r="B25" i="18"/>
  <c r="K24" i="18"/>
  <c r="J24" i="18"/>
  <c r="I24" i="18"/>
  <c r="H24" i="18"/>
  <c r="G24" i="18"/>
  <c r="D24" i="18"/>
  <c r="B24" i="18"/>
  <c r="J23" i="18"/>
  <c r="I23" i="18"/>
  <c r="H23" i="18"/>
  <c r="G23" i="18"/>
  <c r="K23" i="18" s="1"/>
  <c r="D23" i="18"/>
  <c r="B23" i="18"/>
  <c r="G22" i="18"/>
  <c r="D22" i="18"/>
  <c r="B22" i="18"/>
  <c r="G21" i="18"/>
  <c r="D21" i="18"/>
  <c r="B21" i="18"/>
  <c r="G20" i="18"/>
  <c r="D20" i="18"/>
  <c r="B20" i="18"/>
  <c r="G19" i="18"/>
  <c r="J19" i="18" s="1"/>
  <c r="D19" i="18"/>
  <c r="B19" i="18"/>
  <c r="G18" i="18"/>
  <c r="I18" i="18" s="1"/>
  <c r="D18" i="18"/>
  <c r="B18" i="18"/>
  <c r="G17" i="18"/>
  <c r="H17" i="18" s="1"/>
  <c r="D17" i="18"/>
  <c r="B17" i="18"/>
  <c r="G16" i="18"/>
  <c r="K16" i="18" s="1"/>
  <c r="D16" i="18"/>
  <c r="B16" i="18"/>
  <c r="G15" i="18"/>
  <c r="K15" i="18" s="1"/>
  <c r="D15" i="18"/>
  <c r="B15" i="18"/>
  <c r="G14" i="18"/>
  <c r="I14" i="18" s="1"/>
  <c r="D14" i="18"/>
  <c r="B14" i="18"/>
  <c r="G13" i="18"/>
  <c r="D13" i="18"/>
  <c r="B13" i="18"/>
  <c r="G12" i="18"/>
  <c r="D12" i="18"/>
  <c r="B12" i="18"/>
  <c r="E11" i="18"/>
  <c r="E10" i="18"/>
  <c r="E8" i="18"/>
  <c r="A7" i="18"/>
  <c r="G48" i="18" s="1"/>
  <c r="K25" i="11"/>
  <c r="U20" i="11"/>
  <c r="W17" i="11"/>
  <c r="J12" i="11"/>
  <c r="H3" i="11"/>
  <c r="W20" i="11" s="1"/>
  <c r="C1" i="11"/>
  <c r="D14" i="11"/>
  <c r="D10" i="11"/>
  <c r="L27" i="25"/>
  <c r="C62" i="18"/>
  <c r="V10" i="11"/>
  <c r="V11" i="11" s="1"/>
  <c r="I31" i="18" l="1"/>
  <c r="K18" i="18"/>
  <c r="V20" i="11"/>
  <c r="J40" i="18"/>
  <c r="I45" i="18"/>
  <c r="H19" i="18"/>
  <c r="J31" i="18"/>
  <c r="J33" i="18"/>
  <c r="K35" i="18"/>
  <c r="I40" i="18"/>
  <c r="J32" i="18"/>
  <c r="K32" i="18"/>
  <c r="J18" i="18"/>
  <c r="H31" i="18"/>
  <c r="J39" i="18"/>
  <c r="J35" i="18"/>
  <c r="J17" i="18"/>
  <c r="H44" i="18"/>
  <c r="H46" i="18"/>
  <c r="K17" i="18"/>
  <c r="I44" i="18"/>
  <c r="I46" i="18"/>
  <c r="I17" i="18"/>
  <c r="J44" i="18"/>
  <c r="K46" i="18"/>
  <c r="J34" i="18"/>
  <c r="H32" i="18"/>
  <c r="K33" i="18"/>
  <c r="H35" i="18"/>
  <c r="H39" i="18"/>
  <c r="I39" i="18"/>
  <c r="H16" i="18"/>
  <c r="I16" i="18"/>
  <c r="J16" i="18"/>
  <c r="K19" i="18"/>
  <c r="K34" i="18"/>
  <c r="K41" i="18"/>
  <c r="J45" i="18"/>
  <c r="J15" i="18"/>
  <c r="I33" i="18"/>
  <c r="E50" i="18"/>
  <c r="L50" i="18" s="1"/>
  <c r="K45" i="18"/>
  <c r="G49" i="18"/>
  <c r="K37" i="18"/>
  <c r="J37" i="18"/>
  <c r="I37" i="18"/>
  <c r="C3" i="11"/>
  <c r="K13" i="18"/>
  <c r="J13" i="18"/>
  <c r="I13" i="18"/>
  <c r="H13" i="18"/>
  <c r="H37" i="18"/>
  <c r="K22" i="18"/>
  <c r="J22" i="18"/>
  <c r="I22" i="18"/>
  <c r="K30" i="18"/>
  <c r="J30" i="18"/>
  <c r="H30" i="18"/>
  <c r="H22" i="18"/>
  <c r="I30" i="18"/>
  <c r="D68" i="18"/>
  <c r="H14" i="18"/>
  <c r="K47" i="18"/>
  <c r="J47" i="18"/>
  <c r="I47" i="18"/>
  <c r="J70" i="18"/>
  <c r="F70" i="18"/>
  <c r="P14" i="11"/>
  <c r="W10" i="11" s="1"/>
  <c r="E48" i="18"/>
  <c r="L48" i="18" s="1"/>
  <c r="K12" i="18"/>
  <c r="J12" i="18"/>
  <c r="I12" i="18"/>
  <c r="H12" i="18"/>
  <c r="E49" i="18"/>
  <c r="L49" i="18" s="1"/>
  <c r="K21" i="11"/>
  <c r="D21" i="11" s="1"/>
  <c r="D22" i="11" s="1"/>
  <c r="K14" i="18"/>
  <c r="J14" i="18"/>
  <c r="K20" i="18"/>
  <c r="J20" i="18"/>
  <c r="I20" i="18"/>
  <c r="H20" i="18"/>
  <c r="K42" i="18"/>
  <c r="J42" i="18"/>
  <c r="I42" i="18"/>
  <c r="K28" i="18"/>
  <c r="J28" i="18"/>
  <c r="I28" i="18"/>
  <c r="H28" i="18"/>
  <c r="U5" i="25"/>
  <c r="K21" i="18"/>
  <c r="J21" i="18"/>
  <c r="I21" i="18"/>
  <c r="K38" i="18"/>
  <c r="J38" i="18"/>
  <c r="K43" i="18"/>
  <c r="J43" i="18"/>
  <c r="H15" i="18"/>
  <c r="H21" i="18"/>
  <c r="K29" i="18"/>
  <c r="J29" i="18"/>
  <c r="I29" i="18"/>
  <c r="K36" i="18"/>
  <c r="J36" i="18"/>
  <c r="I36" i="18"/>
  <c r="H36" i="18"/>
  <c r="H38" i="18"/>
  <c r="H43" i="18"/>
  <c r="I15" i="18"/>
  <c r="I38" i="18"/>
  <c r="I43" i="18"/>
  <c r="H18" i="18"/>
  <c r="I19" i="18"/>
  <c r="H26" i="18"/>
  <c r="I27" i="18"/>
  <c r="H34" i="18"/>
  <c r="I41" i="18"/>
  <c r="G50" i="18"/>
  <c r="F71" i="18"/>
  <c r="L71" i="18" s="1"/>
  <c r="K45" i="25"/>
  <c r="L78" i="25" l="1"/>
  <c r="T78" i="25" s="1"/>
  <c r="P78" i="25"/>
  <c r="J27" i="25"/>
  <c r="W14" i="11"/>
  <c r="W11" i="11"/>
  <c r="J68" i="18"/>
  <c r="F68" i="18"/>
  <c r="L68" i="18" s="1"/>
  <c r="Q5" i="25"/>
  <c r="F27" i="25" s="1"/>
  <c r="D69" i="18"/>
  <c r="E62" i="18"/>
  <c r="F57" i="18"/>
  <c r="A57" i="18" s="1"/>
  <c r="J69" i="18" l="1"/>
  <c r="F69" i="18"/>
  <c r="L69" i="18" s="1"/>
  <c r="D13" i="11"/>
  <c r="D20" i="11" s="1"/>
  <c r="D62" i="18"/>
  <c r="D57" i="18" l="1"/>
  <c r="K26" i="11" l="1"/>
  <c r="B62" i="18"/>
  <c r="K27" i="11" l="1"/>
  <c r="P28" i="11" s="1"/>
</calcChain>
</file>

<file path=xl/sharedStrings.xml><?xml version="1.0" encoding="utf-8"?>
<sst xmlns="http://schemas.openxmlformats.org/spreadsheetml/2006/main" count="266" uniqueCount="231">
  <si>
    <t>M</t>
  </si>
  <si>
    <t>R</t>
  </si>
  <si>
    <t>data</t>
  </si>
  <si>
    <t>latte vaccino</t>
  </si>
  <si>
    <t>DATA</t>
  </si>
  <si>
    <t>Operatore:</t>
  </si>
  <si>
    <t>Codice RINA AGRIFOOD</t>
  </si>
  <si>
    <t>(ragione sociale o timbro azienda)</t>
  </si>
  <si>
    <t>Scheda N.</t>
  </si>
  <si>
    <t>Data:</t>
  </si>
  <si>
    <t>Ora ricevimento latte</t>
  </si>
  <si>
    <t>9:00</t>
  </si>
  <si>
    <t>Ora inizio lavorazione (1)</t>
  </si>
  <si>
    <t>Ora fine lavorazione (2)</t>
  </si>
  <si>
    <t>14:00</t>
  </si>
  <si>
    <t>Ricevimento</t>
  </si>
  <si>
    <t>Lavorazione</t>
  </si>
  <si>
    <t>Filatura</t>
  </si>
  <si>
    <t>Prdoduzioni</t>
  </si>
  <si>
    <t>Tipo di latte</t>
  </si>
  <si>
    <t>Quantità (kg)</t>
  </si>
  <si>
    <t>Tank n°</t>
  </si>
  <si>
    <t>Attività</t>
  </si>
  <si>
    <t>Valori</t>
  </si>
  <si>
    <t>Prodotto</t>
  </si>
  <si>
    <t>lotto n.</t>
  </si>
  <si>
    <t>Q.tà
(kg)</t>
  </si>
  <si>
    <t>1A. Giacenza periodo precedente di latte idoneo a DOP</t>
  </si>
  <si>
    <t>1-2</t>
  </si>
  <si>
    <t>Temperatura attivazione °C</t>
  </si>
  <si>
    <t>36°C</t>
  </si>
  <si>
    <t>Mozzarella di Bufala Campana DOP
di cui:</t>
  </si>
  <si>
    <t>1B. Giacenza lavorazione precedente semilavorato idoneo alla DOP</t>
  </si>
  <si>
    <t>Tipo siero innesto</t>
  </si>
  <si>
    <t>naturale</t>
  </si>
  <si>
    <t>Temperatura acqua di filatura °C</t>
  </si>
  <si>
    <t>95 °C</t>
  </si>
  <si>
    <t>Confezionata</t>
  </si>
  <si>
    <t>Caglio: fornitore e lotto</t>
  </si>
  <si>
    <t>Sfusa per punto vendita</t>
  </si>
  <si>
    <t>1E. Latte di Bufala idoneo a DOP da allevamento Giri di raccolta__________</t>
  </si>
  <si>
    <t>pH finale</t>
  </si>
  <si>
    <t>Tipologia e peso unitario
(per peso o intervalli di pesi) (g)</t>
  </si>
  <si>
    <t>Q.tà MBC
(Kg)</t>
  </si>
  <si>
    <t>1F. Latte di Bufala idoneo a DOP da raccoglitore
 DDT/Distinta ________</t>
  </si>
  <si>
    <t>Tempo di maturazione (min)</t>
  </si>
  <si>
    <t>da 30 a 800 gr</t>
  </si>
  <si>
    <t>Bilancio di massa latte</t>
  </si>
  <si>
    <t>1G. Latte di Bufala idoneo a DOP da caseificio
 DDT/Distinta____________</t>
  </si>
  <si>
    <t>Saggio di filatura</t>
  </si>
  <si>
    <t>SI</t>
  </si>
  <si>
    <t>Termine confezionamento ore: (2)</t>
  </si>
  <si>
    <t>16:00</t>
  </si>
  <si>
    <t>Acidità Primo Siero</t>
  </si>
  <si>
    <t xml:space="preserve">Latte di bufala kg
_________ </t>
  </si>
  <si>
    <t>Panna Fresca
_______</t>
  </si>
  <si>
    <t>Sale
_______</t>
  </si>
  <si>
    <t>Altri formaggi</t>
  </si>
  <si>
    <t>Aggiunte RBC</t>
  </si>
  <si>
    <t>1.I Totale semilavorato idoneo a DOP</t>
  </si>
  <si>
    <t>Produzione RBC</t>
  </si>
  <si>
    <t>Pezzatura gr.</t>
  </si>
  <si>
    <t>Unità n°</t>
  </si>
  <si>
    <t>Lotto n°</t>
  </si>
  <si>
    <t>Scadenza</t>
  </si>
  <si>
    <t>1J. Totale latte di Bufala idoneo a DOP</t>
  </si>
  <si>
    <t>2I. Semilavorato idoneo a DOP lavorato a MBC DOP (kg)</t>
  </si>
  <si>
    <t>1L. Primo Siero Autoprodotto</t>
  </si>
  <si>
    <t>2L. Latte idoneo a DOP lavorato a MBC DOP (kg)</t>
  </si>
  <si>
    <t>AFFUMICATA</t>
  </si>
  <si>
    <t>1L. Totale Primo Siero Autoprodotto</t>
  </si>
  <si>
    <t>2M. Cicli di lavorazione n°</t>
  </si>
  <si>
    <t>LAVORATA A MANO</t>
  </si>
  <si>
    <t>Composizione liquido di governo</t>
  </si>
  <si>
    <t>acqua sale acido lattico</t>
  </si>
  <si>
    <t>1M. Pulizia/filtrazione</t>
  </si>
  <si>
    <t>2N. Semilavorato idoneo a DOP destinato ad altre lavorazioni e/o semilavorati (kg)</t>
  </si>
  <si>
    <t>Agenti Acidificanti RBC</t>
  </si>
  <si>
    <t>Cizza di MBC DOP</t>
  </si>
  <si>
    <t>Caratteristiche fisiche ed organolettiche (Specificare MBC e RBC)</t>
  </si>
  <si>
    <t>1N. Rispetto 60 ore da prima mungitura</t>
  </si>
  <si>
    <t>2O. Latte idoneo a DOP destinato ad altre lavorazioni e/o semilavorati (kg)</t>
  </si>
  <si>
    <t>Acido Lattico</t>
  </si>
  <si>
    <t>Aspetto esterno</t>
  </si>
  <si>
    <t>Idoneo xxx</t>
  </si>
  <si>
    <t>Non idoneo</t>
  </si>
  <si>
    <t>Spaziale</t>
  </si>
  <si>
    <t>Temp.le</t>
  </si>
  <si>
    <t>Spaziale temp.le</t>
  </si>
  <si>
    <t>2P. Latte idoneo a DOP ceduto a terzi (kg) (3)</t>
  </si>
  <si>
    <t>Acido Citrico</t>
  </si>
  <si>
    <t>Struttura pasta</t>
  </si>
  <si>
    <t>2Q. Giacenza giornaliera latte idoneo a DOP del giorno stesso</t>
  </si>
  <si>
    <t>Trattamenti Termici di conservazione RBC</t>
  </si>
  <si>
    <t>T° Finale
__4__</t>
  </si>
  <si>
    <t>T° Raf.to ___4__</t>
  </si>
  <si>
    <t>Caratteristiche Organolettiche</t>
  </si>
  <si>
    <t>1O. Separazione delle produzioni DOP e NON DOP</t>
  </si>
  <si>
    <t>X</t>
  </si>
  <si>
    <t>2R. Giacenza giornaliera di semilavorato idoneo a DOP del giorno stesso</t>
  </si>
  <si>
    <t>Latte idoneo a DOP giacenza totale periodo (kg)</t>
  </si>
  <si>
    <t xml:space="preserve">MANUALE DI AUTOCONTROLLO </t>
  </si>
  <si>
    <t>M.R.15 REV 0 RINTRACCIABILITA' DEI PRODOTTI A BASE DI LATTE</t>
  </si>
  <si>
    <t>Latte in ingresso nella struttura</t>
  </si>
  <si>
    <t>provenienza azienda, centro di raccolta, centro  di congelamento</t>
  </si>
  <si>
    <t>codice ASL</t>
  </si>
  <si>
    <t>latte refrigerato kg</t>
  </si>
  <si>
    <t>esito controlli eseguiti</t>
  </si>
  <si>
    <t>accettato, respinto, stoccato in attesa</t>
  </si>
  <si>
    <t>non conformità rilevate</t>
  </si>
  <si>
    <t>giacenza di latte di bufala dop(A)</t>
  </si>
  <si>
    <t>Controllo acidità (SH°/50 ml &lt;4,2)</t>
  </si>
  <si>
    <t>Controllo temperatura (T°C ≤ 10)</t>
  </si>
  <si>
    <t>giacenza latte vaccino (C )</t>
  </si>
  <si>
    <t xml:space="preserve">lotto </t>
  </si>
  <si>
    <t>quantità conferita kg</t>
  </si>
  <si>
    <t xml:space="preserve"> N°ddt</t>
  </si>
  <si>
    <t>giacenza latte di bufala (D)</t>
  </si>
  <si>
    <t>allevamenti dop latte di bufala</t>
  </si>
  <si>
    <t>caseifici dop latte di bufala</t>
  </si>
  <si>
    <t>caseificio non dop latte di bufala</t>
  </si>
  <si>
    <t>all. non dop latte di bufala</t>
  </si>
  <si>
    <t>CONGELATO</t>
  </si>
  <si>
    <t>CAGLIATA</t>
  </si>
  <si>
    <t>totale latte di bufala in ingresso</t>
  </si>
  <si>
    <t>N° LOTTO</t>
  </si>
  <si>
    <t xml:space="preserve">Totale latte di bufala DOP disponibile (A+E) </t>
  </si>
  <si>
    <t>totale latte di bufala in ingresso (G)</t>
  </si>
  <si>
    <t>G</t>
  </si>
  <si>
    <t xml:space="preserve">Totale latte di bufala disponibile (D+G) </t>
  </si>
  <si>
    <t>totale latte vaccino in ingresso (H)</t>
  </si>
  <si>
    <t>H</t>
  </si>
  <si>
    <t xml:space="preserve">Totale latte di vaccino disponibile (C+H) </t>
  </si>
  <si>
    <t>Lavorazione di prodotti a base di latte</t>
  </si>
  <si>
    <t>latte lavorato mozzarella di  bufala</t>
  </si>
  <si>
    <t>latte destinato al congelamento</t>
  </si>
  <si>
    <t>DDT</t>
  </si>
  <si>
    <t>latte venduto</t>
  </si>
  <si>
    <t>destinatario (cliente)</t>
  </si>
  <si>
    <t>buf dop</t>
  </si>
  <si>
    <t>buf non dop</t>
  </si>
  <si>
    <t>buf dop declassato</t>
  </si>
  <si>
    <t>bufala dop Per delattosata</t>
  </si>
  <si>
    <t>latte in giacenza</t>
  </si>
  <si>
    <t>bufala dop</t>
  </si>
  <si>
    <t xml:space="preserve">latte di buf </t>
  </si>
  <si>
    <t>Prodotti finiti</t>
  </si>
  <si>
    <t>prodotto finito</t>
  </si>
  <si>
    <t>quantità prodotta</t>
  </si>
  <si>
    <t xml:space="preserve">lotto di produzione </t>
  </si>
  <si>
    <t>vendita diretta</t>
  </si>
  <si>
    <t>vendita a terzi</t>
  </si>
  <si>
    <t>lotto prodotto venduto</t>
  </si>
  <si>
    <t>note</t>
  </si>
  <si>
    <t>mozzarella di bufala MBC</t>
  </si>
  <si>
    <t>mozzarella di latte bufala</t>
  </si>
  <si>
    <t>mozzarella di latte di bufala affumicata affumicata</t>
  </si>
  <si>
    <t>ricotta dop di bufala</t>
  </si>
  <si>
    <t>mozzarella di bufala MBC delattosata</t>
  </si>
  <si>
    <t>RINA AGRIFOOD</t>
  </si>
  <si>
    <t>Ricotta di Bufala Campana DOP – Registro di produzione</t>
  </si>
  <si>
    <t>Registro di produzione_Ricotta Rev. 00 del 21/05/26</t>
  </si>
  <si>
    <t>Codice ID</t>
  </si>
  <si>
    <t>(ragione sociale)</t>
  </si>
  <si>
    <t>“Primo Siero” (PS) Acquistato da caseifici riconosciuti RBC</t>
  </si>
  <si>
    <t>Origine del PS1</t>
  </si>
  <si>
    <t>N° DDT</t>
  </si>
  <si>
    <t>Quantità</t>
  </si>
  <si>
    <t>Ora di rottura cagliata</t>
  </si>
  <si>
    <t>Tank di stoccaggio</t>
  </si>
  <si>
    <t>Primo Siero” (PS) Autoprodotto</t>
  </si>
  <si>
    <t>Origine</t>
  </si>
  <si>
    <t>Quantità KG</t>
  </si>
  <si>
    <t>Ora di rottura della cagliata</t>
  </si>
  <si>
    <t>SchedaRegistro di lavorazione n°</t>
  </si>
  <si>
    <t>del</t>
  </si>
  <si>
    <t>10:00</t>
  </si>
  <si>
    <t>trasrformazione immedita</t>
  </si>
  <si>
    <t>PS Stabilizzato</t>
  </si>
  <si>
    <t>Pastorizzato</t>
  </si>
  <si>
    <t>Termizzato</t>
  </si>
  <si>
    <t>Refrigerato</t>
  </si>
  <si>
    <t>Quantità totale PS lavorato kg</t>
  </si>
  <si>
    <t xml:space="preserve">in n° </t>
  </si>
  <si>
    <t>cicli di lavorazione</t>
  </si>
  <si>
    <r>
      <rPr>
        <b/>
        <u/>
        <sz val="11"/>
        <color theme="1"/>
        <rFont val="Times New Roman"/>
        <family val="1"/>
      </rPr>
      <t>PARAMETRI</t>
    </r>
    <r>
      <rPr>
        <u/>
        <sz val="11"/>
        <color theme="1"/>
        <rFont val="Times New Roman"/>
        <family val="1"/>
      </rPr>
      <t> </t>
    </r>
    <r>
      <rPr>
        <b/>
        <u/>
        <sz val="11"/>
        <color theme="1"/>
        <rFont val="Times New Roman"/>
        <family val="1"/>
      </rPr>
      <t>DI</t>
    </r>
    <r>
      <rPr>
        <u/>
        <sz val="11"/>
        <color theme="1"/>
        <rFont val="Times New Roman"/>
        <family val="1"/>
      </rPr>
      <t> </t>
    </r>
    <r>
      <rPr>
        <b/>
        <u/>
        <sz val="11"/>
        <color theme="1"/>
        <rFont val="Times New Roman"/>
        <family val="1"/>
      </rPr>
      <t>LAVORAZIONE</t>
    </r>
  </si>
  <si>
    <t>acidtà</t>
  </si>
  <si>
    <t>primo Siero</t>
  </si>
  <si>
    <t>°SH/50 ml</t>
  </si>
  <si>
    <t xml:space="preserve">  (max 5% della massa del PS)</t>
  </si>
  <si>
    <t>aggiunte</t>
  </si>
  <si>
    <t>Latte di bufala Kg</t>
  </si>
  <si>
    <t xml:space="preserve">  (max 6% della massa del PS)</t>
  </si>
  <si>
    <t>Panna fresca di siero di latte di bufala kg</t>
  </si>
  <si>
    <t>Sale (NACl) kg</t>
  </si>
  <si>
    <t xml:space="preserve">  (max 1 kg ogni 100 PS)</t>
  </si>
  <si>
    <t>Agenti acidificanti</t>
  </si>
  <si>
    <t>Cizza di Mozzarella di Bufala Campana DoOP</t>
  </si>
  <si>
    <t>temperatura finale</t>
  </si>
  <si>
    <t>94 °C</t>
  </si>
  <si>
    <t>(max 96 °C</t>
  </si>
  <si>
    <t>temperatura di raffreddamento</t>
  </si>
  <si>
    <t>4 °C</t>
  </si>
  <si>
    <t>( tra 2 e 4 °C</t>
  </si>
  <si>
    <t>trattamento termico della ricotta</t>
  </si>
  <si>
    <t>x</t>
  </si>
  <si>
    <t>NO</t>
  </si>
  <si>
    <t>LISCIATURA</t>
  </si>
  <si>
    <t>OMOGENEIZZAZIONE</t>
  </si>
  <si>
    <t>Prodotto finito</t>
  </si>
  <si>
    <t>caratteristiche fisiche</t>
  </si>
  <si>
    <t xml:space="preserve">Idoneo </t>
  </si>
  <si>
    <t>Non Idoneo</t>
  </si>
  <si>
    <t>Carattgeristiche organolettiche</t>
  </si>
  <si>
    <t>idoneo</t>
  </si>
  <si>
    <t>Forma; Colore, Aspetto esterno, Consistenza</t>
  </si>
  <si>
    <t>Sapore odore</t>
  </si>
  <si>
    <t>Confezionamento</t>
  </si>
  <si>
    <t>RBC DOP</t>
  </si>
  <si>
    <t>Pezzatura</t>
  </si>
  <si>
    <t>ID. Lotto</t>
  </si>
  <si>
    <t>Data confezionamento</t>
  </si>
  <si>
    <t>DICHIARA SOTTO QUANTO SEGUE</t>
  </si>
  <si>
    <t>consapevole delle sanzioni penali in caso di dichiarazioni false e della conseguente decadenza dai benefici eventualmente conseguiti (ai sensi degli artt. 75 e 76 D.P.R. 445/2000) sotto la propria responsabilità che:</t>
  </si>
  <si>
    <t>1)</t>
  </si>
  <si>
    <t>che la ditta è riconosciuta ed è regolarmente inserita nel sistema di controllo della DOP Ricotta di Bufala Campana;</t>
  </si>
  <si>
    <t>2)</t>
  </si>
  <si>
    <t>che il prodotto proviene da aziende regolarmente iscritte al sistema dei controlli della DOP Ricotta di Bufala Campana;</t>
  </si>
  <si>
    <t>3)</t>
  </si>
  <si>
    <t>che il prodotto ottenuto rispettano i requisiti del Disciplinare di Produzione e del Dispositivo dei Controlli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</si>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</sst>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6" formatCode="d/m/yyyy"/>
    <numFmt numFmtId="175" formatCode="0.0"/>
    <numFmt numFmtId="180" formatCode="d\-m"/>
    <numFmt numFmtId="181" formatCode="d/m/yy"/>
  </numFmts>
  <fonts count="3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6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color rgb="FF000000"/>
      <name val="&quot;Times New Roman&quot;"/>
    </font>
    <font>
      <sz val="12"/>
      <color theme="1"/>
      <name val="Calibri"/>
      <family val="2"/>
      <scheme val="minor"/>
    </font>
    <font>
      <b/>
      <sz val="8"/>
      <color rgb="FF000000"/>
      <name val="&quot;Times New Roman&quot;"/>
    </font>
    <font>
      <b/>
      <sz val="8"/>
      <color theme="1"/>
      <name val="&quot;Times New Roman&quot;"/>
    </font>
    <font>
      <b/>
      <sz val="12"/>
      <color theme="1"/>
      <name val="Calibri"/>
      <family val="2"/>
    </font>
    <font>
      <sz val="10"/>
      <color rgb="FF000000"/>
      <name val="&quot;Times New Roman&quot;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5"/>
      <color theme="1"/>
      <name val="Calibri"/>
      <family val="2"/>
    </font>
    <font>
      <b/>
      <u/>
      <sz val="14"/>
      <color theme="1"/>
      <name val="Calibri"/>
      <family val="2"/>
    </font>
    <font>
      <i/>
      <sz val="9"/>
      <color theme="1"/>
      <name val="&quot;Times New Roman&quot;"/>
    </font>
    <font>
      <sz val="8"/>
      <color theme="1"/>
      <name val="Calibri"/>
      <family val="2"/>
      <scheme val="minor"/>
    </font>
    <font>
      <b/>
      <sz val="11"/>
      <color theme="1"/>
      <name val="&quot;Times New Roman&quot;"/>
    </font>
    <font>
      <b/>
      <u/>
      <sz val="11"/>
      <color theme="1"/>
      <name val="&quot;Times New Roman&quot;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0" xfId="0" applyFont="1"/>
    <xf numFmtId="0" fontId="1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2" xfId="0" applyFont="1" applyBorder="1"/>
    <xf numFmtId="0" fontId="1" fillId="0" borderId="10" xfId="0" applyFont="1" applyBorder="1"/>
    <xf numFmtId="0" fontId="1" fillId="0" borderId="33" xfId="0" applyFont="1" applyBorder="1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38" xfId="0" applyFont="1" applyBorder="1"/>
    <xf numFmtId="0" fontId="11" fillId="0" borderId="2" xfId="0" applyFont="1" applyBorder="1"/>
    <xf numFmtId="0" fontId="11" fillId="0" borderId="37" xfId="0" applyFont="1" applyBorder="1"/>
    <xf numFmtId="0" fontId="11" fillId="0" borderId="42" xfId="0" applyFont="1" applyBorder="1"/>
    <xf numFmtId="0" fontId="11" fillId="0" borderId="0" xfId="0" applyFont="1"/>
    <xf numFmtId="0" fontId="11" fillId="0" borderId="35" xfId="0" applyFont="1" applyBorder="1"/>
    <xf numFmtId="166" fontId="11" fillId="0" borderId="0" xfId="0" applyNumberFormat="1" applyFont="1"/>
    <xf numFmtId="0" fontId="11" fillId="0" borderId="49" xfId="0" applyFont="1" applyBorder="1"/>
    <xf numFmtId="0" fontId="11" fillId="0" borderId="19" xfId="0" applyFont="1" applyBorder="1"/>
    <xf numFmtId="164" fontId="11" fillId="0" borderId="19" xfId="0" applyNumberFormat="1" applyFont="1" applyBorder="1"/>
    <xf numFmtId="20" fontId="11" fillId="0" borderId="0" xfId="0" applyNumberFormat="1" applyFont="1"/>
    <xf numFmtId="0" fontId="11" fillId="0" borderId="26" xfId="0" applyFont="1" applyBorder="1"/>
    <xf numFmtId="0" fontId="11" fillId="0" borderId="25" xfId="0" applyFont="1" applyBorder="1"/>
    <xf numFmtId="20" fontId="11" fillId="0" borderId="26" xfId="0" applyNumberFormat="1" applyFont="1" applyBorder="1"/>
    <xf numFmtId="0" fontId="11" fillId="0" borderId="27" xfId="0" applyFont="1" applyBorder="1"/>
    <xf numFmtId="0" fontId="7" fillId="0" borderId="52" xfId="0" applyFont="1" applyBorder="1"/>
    <xf numFmtId="0" fontId="7" fillId="0" borderId="0" xfId="0" applyFont="1"/>
    <xf numFmtId="0" fontId="7" fillId="0" borderId="35" xfId="0" applyFont="1" applyBorder="1"/>
    <xf numFmtId="0" fontId="7" fillId="0" borderId="40" xfId="0" applyFont="1" applyBorder="1"/>
    <xf numFmtId="0" fontId="7" fillId="0" borderId="49" xfId="0" applyFont="1" applyBorder="1"/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 vertical="center" wrapText="1"/>
    </xf>
    <xf numFmtId="1" fontId="2" fillId="0" borderId="22" xfId="0" applyNumberFormat="1" applyFont="1" applyBorder="1"/>
    <xf numFmtId="49" fontId="2" fillId="0" borderId="22" xfId="0" applyNumberFormat="1" applyFont="1" applyBorder="1" applyAlignment="1">
      <alignment horizontal="center" vertical="center"/>
    </xf>
    <xf numFmtId="0" fontId="2" fillId="0" borderId="40" xfId="0" applyFont="1" applyBorder="1"/>
    <xf numFmtId="3" fontId="2" fillId="0" borderId="57" xfId="0" applyNumberFormat="1" applyFont="1" applyBorder="1" applyAlignment="1">
      <alignment horizontal="center" vertical="center" wrapText="1"/>
    </xf>
    <xf numFmtId="1" fontId="2" fillId="0" borderId="5" xfId="0" applyNumberFormat="1" applyFont="1" applyBorder="1"/>
    <xf numFmtId="49" fontId="2" fillId="0" borderId="6" xfId="0" applyNumberFormat="1" applyFont="1" applyBorder="1" applyAlignment="1">
      <alignment horizontal="center" vertical="center"/>
    </xf>
    <xf numFmtId="0" fontId="2" fillId="0" borderId="58" xfId="0" applyFont="1" applyBorder="1"/>
    <xf numFmtId="0" fontId="2" fillId="0" borderId="59" xfId="0" applyFont="1" applyBorder="1"/>
    <xf numFmtId="0" fontId="2" fillId="0" borderId="54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36" xfId="0" applyFont="1" applyBorder="1" applyAlignment="1">
      <alignment horizontal="center" vertical="center" wrapText="1"/>
    </xf>
    <xf numFmtId="0" fontId="2" fillId="0" borderId="33" xfId="0" applyFont="1" applyBorder="1"/>
    <xf numFmtId="180" fontId="2" fillId="0" borderId="6" xfId="0" applyNumberFormat="1" applyFont="1" applyBorder="1"/>
    <xf numFmtId="0" fontId="6" fillId="0" borderId="61" xfId="0" applyFont="1" applyBorder="1" applyAlignment="1">
      <alignment horizontal="center" vertical="center" wrapText="1"/>
    </xf>
    <xf numFmtId="0" fontId="5" fillId="0" borderId="49" xfId="0" applyFont="1" applyBorder="1"/>
    <xf numFmtId="0" fontId="2" fillId="0" borderId="6" xfId="0" applyFont="1" applyBorder="1" applyAlignment="1"/>
    <xf numFmtId="10" fontId="2" fillId="0" borderId="10" xfId="0" applyNumberFormat="1" applyFont="1" applyBorder="1"/>
    <xf numFmtId="0" fontId="9" fillId="0" borderId="6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28" xfId="0" applyFont="1" applyBorder="1" applyAlignment="1"/>
    <xf numFmtId="175" fontId="6" fillId="0" borderId="6" xfId="0" applyNumberFormat="1" applyFont="1" applyBorder="1"/>
    <xf numFmtId="0" fontId="6" fillId="0" borderId="6" xfId="0" applyFont="1" applyBorder="1"/>
    <xf numFmtId="0" fontId="2" fillId="0" borderId="7" xfId="0" applyFont="1" applyBorder="1"/>
    <xf numFmtId="0" fontId="2" fillId="0" borderId="49" xfId="0" applyFont="1" applyBorder="1"/>
    <xf numFmtId="0" fontId="5" fillId="0" borderId="6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1" fontId="1" fillId="0" borderId="61" xfId="0" applyNumberFormat="1" applyFont="1" applyBorder="1" applyAlignment="1">
      <alignment horizontal="right"/>
    </xf>
    <xf numFmtId="0" fontId="14" fillId="0" borderId="17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10" fontId="2" fillId="0" borderId="6" xfId="0" applyNumberFormat="1" applyFont="1" applyBorder="1" applyAlignment="1">
      <alignment vertical="center" wrapText="1"/>
    </xf>
    <xf numFmtId="0" fontId="1" fillId="0" borderId="64" xfId="0" applyFont="1" applyBorder="1" applyAlignment="1">
      <alignment horizontal="center" vertical="center" wrapText="1"/>
    </xf>
    <xf numFmtId="164" fontId="1" fillId="0" borderId="65" xfId="0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" fontId="2" fillId="0" borderId="19" xfId="0" applyNumberFormat="1" applyFont="1" applyBorder="1" applyAlignment="1">
      <alignment vertical="center" wrapText="1"/>
    </xf>
    <xf numFmtId="1" fontId="6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81" fontId="1" fillId="0" borderId="22" xfId="0" applyNumberFormat="1" applyFont="1" applyBorder="1"/>
    <xf numFmtId="181" fontId="1" fillId="0" borderId="34" xfId="0" applyNumberFormat="1" applyFont="1" applyBorder="1"/>
    <xf numFmtId="0" fontId="6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1" fontId="4" fillId="0" borderId="66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 wrapText="1"/>
    </xf>
    <xf numFmtId="0" fontId="2" fillId="0" borderId="67" xfId="0" applyFont="1" applyBorder="1"/>
    <xf numFmtId="1" fontId="2" fillId="0" borderId="41" xfId="0" applyNumberFormat="1" applyFont="1" applyBorder="1"/>
    <xf numFmtId="0" fontId="9" fillId="0" borderId="6" xfId="0" applyFont="1" applyBorder="1" applyAlignment="1">
      <alignment horizontal="left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1" fontId="2" fillId="0" borderId="68" xfId="0" applyNumberFormat="1" applyFont="1" applyBorder="1"/>
    <xf numFmtId="0" fontId="6" fillId="0" borderId="48" xfId="0" applyFont="1" applyBorder="1" applyAlignment="1">
      <alignment horizontal="center" vertical="center" wrapText="1"/>
    </xf>
    <xf numFmtId="1" fontId="2" fillId="0" borderId="27" xfId="0" applyNumberFormat="1" applyFont="1" applyBorder="1"/>
    <xf numFmtId="0" fontId="1" fillId="0" borderId="6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1" fontId="2" fillId="0" borderId="0" xfId="0" applyNumberFormat="1" applyFont="1"/>
    <xf numFmtId="0" fontId="9" fillId="0" borderId="3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" fontId="7" fillId="0" borderId="0" xfId="0" applyNumberFormat="1" applyFont="1"/>
    <xf numFmtId="0" fontId="14" fillId="0" borderId="63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/>
    </xf>
    <xf numFmtId="0" fontId="2" fillId="0" borderId="72" xfId="0" applyFont="1" applyBorder="1"/>
    <xf numFmtId="0" fontId="5" fillId="0" borderId="32" xfId="0" applyFont="1" applyBorder="1"/>
    <xf numFmtId="0" fontId="2" fillId="0" borderId="74" xfId="0" applyFont="1" applyBorder="1"/>
    <xf numFmtId="0" fontId="2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88" xfId="0" applyNumberFormat="1" applyFont="1" applyBorder="1" applyAlignment="1">
      <alignment horizontal="center" vertical="center"/>
    </xf>
    <xf numFmtId="164" fontId="2" fillId="0" borderId="88" xfId="0" applyNumberFormat="1" applyFont="1" applyBorder="1" applyAlignment="1">
      <alignment vertical="top"/>
    </xf>
    <xf numFmtId="1" fontId="2" fillId="0" borderId="6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8" xfId="0" applyFont="1" applyBorder="1"/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center" wrapText="1"/>
    </xf>
    <xf numFmtId="11" fontId="2" fillId="0" borderId="6" xfId="0" applyNumberFormat="1" applyFont="1" applyBorder="1"/>
    <xf numFmtId="0" fontId="6" fillId="0" borderId="88" xfId="0" applyFont="1" applyBorder="1" applyAlignment="1">
      <alignment vertical="center" wrapText="1"/>
    </xf>
    <xf numFmtId="0" fontId="2" fillId="0" borderId="92" xfId="0" applyFont="1" applyBorder="1"/>
    <xf numFmtId="0" fontId="2" fillId="0" borderId="6" xfId="0" applyFont="1" applyBorder="1" applyAlignment="1">
      <alignment wrapText="1"/>
    </xf>
    <xf numFmtId="164" fontId="2" fillId="0" borderId="6" xfId="0" applyNumberFormat="1" applyFont="1" applyBorder="1"/>
    <xf numFmtId="1" fontId="2" fillId="0" borderId="6" xfId="0" applyNumberFormat="1" applyFont="1" applyBorder="1" applyAlignment="1">
      <alignment wrapText="1"/>
    </xf>
    <xf numFmtId="164" fontId="2" fillId="0" borderId="0" xfId="0" applyNumberFormat="1" applyFont="1"/>
    <xf numFmtId="0" fontId="2" fillId="0" borderId="32" xfId="0" applyFont="1" applyBorder="1" applyAlignment="1">
      <alignment wrapText="1"/>
    </xf>
    <xf numFmtId="0" fontId="2" fillId="0" borderId="32" xfId="0" applyFont="1" applyBorder="1"/>
    <xf numFmtId="164" fontId="2" fillId="0" borderId="32" xfId="0" applyNumberFormat="1" applyFont="1" applyBorder="1"/>
    <xf numFmtId="164" fontId="2" fillId="0" borderId="0" xfId="0" applyNumberFormat="1" applyFont="1" applyAlignment="1">
      <alignment horizontal="center"/>
    </xf>
    <xf numFmtId="1" fontId="2" fillId="0" borderId="88" xfId="0" applyNumberFormat="1" applyFont="1" applyBorder="1"/>
    <xf numFmtId="1" fontId="2" fillId="0" borderId="6" xfId="0" applyNumberFormat="1" applyFont="1" applyBorder="1"/>
    <xf numFmtId="0" fontId="8" fillId="0" borderId="0" xfId="0" applyFont="1"/>
    <xf numFmtId="0" fontId="2" fillId="0" borderId="88" xfId="0" applyFont="1" applyBorder="1" applyAlignment="1">
      <alignment vertical="top" wrapText="1"/>
    </xf>
    <xf numFmtId="0" fontId="2" fillId="0" borderId="98" xfId="0" applyFont="1" applyBorder="1"/>
    <xf numFmtId="1" fontId="2" fillId="0" borderId="32" xfId="0" applyNumberFormat="1" applyFont="1" applyBorder="1"/>
    <xf numFmtId="0" fontId="2" fillId="0" borderId="32" xfId="0" applyFont="1" applyBorder="1" applyAlignment="1">
      <alignment vertical="top" wrapText="1"/>
    </xf>
    <xf numFmtId="0" fontId="2" fillId="0" borderId="99" xfId="0" applyFont="1" applyBorder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24" fillId="0" borderId="0" xfId="0" applyFont="1"/>
    <xf numFmtId="0" fontId="25" fillId="0" borderId="0" xfId="0" applyFont="1" applyAlignment="1">
      <alignment horizontal="center"/>
    </xf>
    <xf numFmtId="0" fontId="5" fillId="0" borderId="106" xfId="0" applyFont="1" applyBorder="1"/>
    <xf numFmtId="0" fontId="5" fillId="0" borderId="0" xfId="0" applyFont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24" xfId="0" applyFont="1" applyBorder="1"/>
    <xf numFmtId="0" fontId="0" fillId="0" borderId="0" xfId="0"/>
    <xf numFmtId="0" fontId="3" fillId="0" borderId="26" xfId="0" applyFont="1" applyBorder="1"/>
    <xf numFmtId="0" fontId="3" fillId="0" borderId="27" xfId="0" applyFont="1" applyBorder="1"/>
    <xf numFmtId="0" fontId="3" fillId="0" borderId="35" xfId="0" applyFont="1" applyBorder="1"/>
    <xf numFmtId="0" fontId="2" fillId="0" borderId="12" xfId="0" applyFont="1" applyBorder="1" applyAlignment="1">
      <alignment horizontal="center" wrapText="1"/>
    </xf>
    <xf numFmtId="0" fontId="3" fillId="0" borderId="22" xfId="0" applyFont="1" applyBorder="1"/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46" xfId="0" applyFont="1" applyBorder="1"/>
    <xf numFmtId="0" fontId="3" fillId="0" borderId="43" xfId="0" applyFont="1" applyBorder="1"/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/>
    </xf>
    <xf numFmtId="0" fontId="14" fillId="0" borderId="6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3" fillId="0" borderId="60" xfId="0" applyFont="1" applyBorder="1"/>
    <xf numFmtId="0" fontId="6" fillId="0" borderId="44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5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3" fillId="0" borderId="45" xfId="0" applyFont="1" applyBorder="1"/>
    <xf numFmtId="0" fontId="9" fillId="0" borderId="13" xfId="0" applyFont="1" applyBorder="1" applyAlignment="1">
      <alignment horizontal="center" vertical="center" wrapText="1"/>
    </xf>
    <xf numFmtId="0" fontId="3" fillId="0" borderId="69" xfId="0" applyFont="1" applyBorder="1"/>
    <xf numFmtId="0" fontId="1" fillId="0" borderId="6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3" fillId="0" borderId="25" xfId="0" applyFont="1" applyBorder="1"/>
    <xf numFmtId="0" fontId="3" fillId="0" borderId="62" xfId="0" applyFont="1" applyBorder="1"/>
    <xf numFmtId="0" fontId="9" fillId="0" borderId="12" xfId="0" applyFont="1" applyBorder="1" applyAlignment="1">
      <alignment horizontal="center" vertical="center" wrapText="1"/>
    </xf>
    <xf numFmtId="0" fontId="3" fillId="0" borderId="71" xfId="0" applyFont="1" applyBorder="1"/>
    <xf numFmtId="0" fontId="1" fillId="0" borderId="13" xfId="0" applyFont="1" applyBorder="1" applyAlignment="1">
      <alignment horizontal="center" vertical="center" wrapText="1"/>
    </xf>
    <xf numFmtId="0" fontId="3" fillId="0" borderId="63" xfId="0" applyFont="1" applyBorder="1"/>
    <xf numFmtId="0" fontId="1" fillId="0" borderId="23" xfId="0" applyFont="1" applyBorder="1" applyAlignment="1">
      <alignment horizontal="center" vertical="center" wrapText="1"/>
    </xf>
    <xf numFmtId="0" fontId="3" fillId="0" borderId="28" xfId="0" applyFont="1" applyBorder="1"/>
    <xf numFmtId="0" fontId="6" fillId="0" borderId="38" xfId="0" applyFont="1" applyBorder="1" applyAlignment="1">
      <alignment horizontal="center" vertical="center" wrapText="1"/>
    </xf>
    <xf numFmtId="0" fontId="3" fillId="0" borderId="37" xfId="0" applyFont="1" applyBorder="1"/>
    <xf numFmtId="9" fontId="6" fillId="0" borderId="11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/>
    </xf>
    <xf numFmtId="0" fontId="11" fillId="0" borderId="37" xfId="0" applyFont="1" applyBorder="1"/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50" xfId="0" applyFont="1" applyBorder="1" applyAlignment="1">
      <alignment horizontal="center"/>
    </xf>
    <xf numFmtId="0" fontId="3" fillId="0" borderId="50" xfId="0" applyFont="1" applyBorder="1"/>
    <xf numFmtId="0" fontId="3" fillId="0" borderId="51" xfId="0" applyFont="1" applyBorder="1"/>
    <xf numFmtId="0" fontId="11" fillId="0" borderId="0" xfId="0" applyFont="1" applyAlignment="1">
      <alignment horizontal="center"/>
    </xf>
    <xf numFmtId="0" fontId="11" fillId="0" borderId="29" xfId="0" applyFont="1" applyBorder="1" applyAlignment="1">
      <alignment horizontal="center"/>
    </xf>
    <xf numFmtId="0" fontId="6" fillId="0" borderId="5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left" wrapText="1"/>
    </xf>
    <xf numFmtId="0" fontId="9" fillId="0" borderId="25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6" fillId="0" borderId="11" xfId="0" applyFont="1" applyBorder="1" applyAlignment="1">
      <alignment wrapText="1"/>
    </xf>
    <xf numFmtId="0" fontId="16" fillId="0" borderId="11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6" fillId="0" borderId="36" xfId="0" applyFont="1" applyBorder="1" applyAlignment="1">
      <alignment horizontal="left" wrapText="1"/>
    </xf>
    <xf numFmtId="0" fontId="3" fillId="0" borderId="73" xfId="0" applyFont="1" applyBorder="1"/>
    <xf numFmtId="0" fontId="11" fillId="0" borderId="11" xfId="0" applyFont="1" applyBorder="1" applyAlignment="1">
      <alignment horizontal="left" wrapText="1"/>
    </xf>
    <xf numFmtId="0" fontId="11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3" fillId="0" borderId="81" xfId="0" applyFont="1" applyBorder="1"/>
    <xf numFmtId="0" fontId="2" fillId="0" borderId="13" xfId="0" applyFont="1" applyBorder="1"/>
    <xf numFmtId="0" fontId="3" fillId="0" borderId="89" xfId="0" applyFont="1" applyBorder="1"/>
    <xf numFmtId="0" fontId="3" fillId="0" borderId="87" xfId="0" applyFont="1" applyBorder="1"/>
    <xf numFmtId="0" fontId="3" fillId="0" borderId="93" xfId="0" applyFont="1" applyBorder="1"/>
    <xf numFmtId="0" fontId="2" fillId="0" borderId="6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78" xfId="0" applyFont="1" applyBorder="1"/>
    <xf numFmtId="0" fontId="3" fillId="0" borderId="79" xfId="0" applyFont="1" applyBorder="1"/>
    <xf numFmtId="0" fontId="18" fillId="0" borderId="80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3" fillId="0" borderId="83" xfId="0" applyFont="1" applyBorder="1"/>
    <xf numFmtId="0" fontId="2" fillId="0" borderId="84" xfId="0" applyFont="1" applyBorder="1" applyAlignment="1">
      <alignment horizontal="center" vertical="center"/>
    </xf>
    <xf numFmtId="0" fontId="3" fillId="0" borderId="86" xfId="0" applyFont="1" applyBorder="1"/>
    <xf numFmtId="0" fontId="2" fillId="0" borderId="70" xfId="0" applyFont="1" applyBorder="1" applyAlignment="1">
      <alignment horizontal="center" vertical="center" wrapText="1"/>
    </xf>
    <xf numFmtId="0" fontId="3" fillId="0" borderId="85" xfId="0" applyFont="1" applyBorder="1"/>
    <xf numFmtId="0" fontId="2" fillId="0" borderId="13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textRotation="90" wrapText="1"/>
    </xf>
    <xf numFmtId="0" fontId="3" fillId="0" borderId="91" xfId="0" applyFont="1" applyBorder="1"/>
    <xf numFmtId="0" fontId="21" fillId="0" borderId="90" xfId="0" applyFont="1" applyBorder="1" applyAlignment="1">
      <alignment horizontal="center" vertical="center" textRotation="90" wrapText="1"/>
    </xf>
    <xf numFmtId="0" fontId="2" fillId="0" borderId="80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94" xfId="0" applyFont="1" applyBorder="1"/>
    <xf numFmtId="0" fontId="22" fillId="0" borderId="95" xfId="0" applyFont="1" applyBorder="1" applyAlignment="1">
      <alignment horizontal="center" vertical="center"/>
    </xf>
    <xf numFmtId="0" fontId="3" fillId="0" borderId="94" xfId="0" applyFont="1" applyBorder="1"/>
    <xf numFmtId="0" fontId="2" fillId="0" borderId="80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/>
    </xf>
    <xf numFmtId="0" fontId="2" fillId="0" borderId="96" xfId="0" applyFont="1" applyBorder="1" applyAlignment="1">
      <alignment horizontal="center" vertical="center" wrapText="1"/>
    </xf>
    <xf numFmtId="0" fontId="3" fillId="0" borderId="97" xfId="0" applyFont="1" applyBorder="1"/>
    <xf numFmtId="0" fontId="2" fillId="0" borderId="94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1" xfId="0" applyFont="1" applyBorder="1"/>
    <xf numFmtId="0" fontId="2" fillId="0" borderId="100" xfId="0" applyFont="1" applyBorder="1" applyAlignment="1">
      <alignment horizontal="center"/>
    </xf>
    <xf numFmtId="0" fontId="3" fillId="0" borderId="101" xfId="0" applyFont="1" applyBorder="1"/>
    <xf numFmtId="0" fontId="3" fillId="0" borderId="102" xfId="0" applyFont="1" applyBorder="1"/>
    <xf numFmtId="1" fontId="2" fillId="0" borderId="103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3" fontId="2" fillId="0" borderId="103" xfId="0" applyNumberFormat="1" applyFont="1" applyBorder="1" applyAlignment="1">
      <alignment horizontal="center"/>
    </xf>
    <xf numFmtId="1" fontId="2" fillId="0" borderId="103" xfId="0" applyNumberFormat="1" applyFont="1" applyBorder="1" applyAlignment="1">
      <alignment horizontal="center" vertical="center"/>
    </xf>
    <xf numFmtId="164" fontId="2" fillId="0" borderId="103" xfId="0" applyNumberFormat="1" applyFont="1" applyBorder="1" applyAlignment="1">
      <alignment horizontal="center"/>
    </xf>
    <xf numFmtId="0" fontId="2" fillId="0" borderId="103" xfId="0" applyFont="1" applyBorder="1" applyAlignment="1">
      <alignment horizontal="center" vertical="center"/>
    </xf>
    <xf numFmtId="0" fontId="3" fillId="0" borderId="104" xfId="0" applyFont="1" applyBorder="1"/>
    <xf numFmtId="0" fontId="3" fillId="0" borderId="105" xfId="0" applyFont="1" applyBorder="1"/>
    <xf numFmtId="0" fontId="3" fillId="0" borderId="106" xfId="0" applyFont="1" applyBorder="1"/>
    <xf numFmtId="0" fontId="3" fillId="0" borderId="107" xfId="0" applyFont="1" applyBorder="1"/>
    <xf numFmtId="0" fontId="3" fillId="0" borderId="110" xfId="0" applyFont="1" applyBorder="1"/>
    <xf numFmtId="0" fontId="3" fillId="0" borderId="109" xfId="0" applyFont="1" applyBorder="1"/>
    <xf numFmtId="0" fontId="3" fillId="0" borderId="112" xfId="0" applyFont="1" applyBorder="1"/>
    <xf numFmtId="0" fontId="25" fillId="0" borderId="75" xfId="0" applyFont="1" applyBorder="1"/>
    <xf numFmtId="0" fontId="26" fillId="0" borderId="0" xfId="0" applyFont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 wrapText="1"/>
    </xf>
    <xf numFmtId="0" fontId="5" fillId="0" borderId="75" xfId="0" applyFont="1" applyBorder="1" applyAlignment="1">
      <alignment horizontal="right" vertical="center"/>
    </xf>
    <xf numFmtId="164" fontId="5" fillId="0" borderId="75" xfId="0" applyNumberFormat="1" applyFont="1" applyBorder="1" applyAlignment="1">
      <alignment horizontal="center" vertical="center"/>
    </xf>
    <xf numFmtId="1" fontId="5" fillId="0" borderId="75" xfId="0" applyNumberFormat="1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wrapText="1"/>
    </xf>
    <xf numFmtId="0" fontId="5" fillId="0" borderId="75" xfId="0" applyFont="1" applyBorder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23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5" fillId="0" borderId="75" xfId="0" applyFont="1" applyBorder="1" applyAlignment="1">
      <alignment vertical="center"/>
    </xf>
    <xf numFmtId="0" fontId="5" fillId="0" borderId="108" xfId="0" applyFont="1" applyBorder="1"/>
    <xf numFmtId="0" fontId="28" fillId="0" borderId="1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106" xfId="0" applyBorder="1"/>
    <xf numFmtId="0" fontId="5" fillId="0" borderId="106" xfId="0" applyFont="1" applyBorder="1"/>
    <xf numFmtId="0" fontId="5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8" fillId="0" borderId="7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1005"/>
  <sheetViews>
    <sheetView tabSelected="1" topLeftCell="A13" workbookViewId="0">
      <selection activeCell="K28" sqref="K28"/>
    </sheetView>
  </sheetViews>
  <sheetFormatPr defaultColWidth="14.42578125" defaultRowHeight="15" customHeight="1"/>
  <cols>
    <col min="1" max="1" width="5.7109375" customWidth="1"/>
    <col min="2" max="2" width="8.85546875" customWidth="1"/>
    <col min="3" max="3" width="11.28515625" customWidth="1"/>
    <col min="4" max="4" width="9.28515625" customWidth="1"/>
    <col min="5" max="5" width="9" customWidth="1"/>
    <col min="6" max="6" width="1.140625" customWidth="1"/>
    <col min="7" max="7" width="5.5703125" customWidth="1"/>
    <col min="8" max="9" width="8.85546875" customWidth="1"/>
    <col min="10" max="10" width="7.140625" customWidth="1"/>
    <col min="11" max="11" width="7.28515625" customWidth="1"/>
    <col min="12" max="12" width="1.28515625" customWidth="1"/>
    <col min="13" max="13" width="10" customWidth="1"/>
    <col min="14" max="16" width="8.85546875" customWidth="1"/>
    <col min="17" max="17" width="1.42578125" customWidth="1"/>
    <col min="18" max="21" width="8.85546875" customWidth="1"/>
    <col min="22" max="22" width="8.5703125" customWidth="1"/>
    <col min="23" max="23" width="12.140625" customWidth="1"/>
    <col min="24" max="27" width="8.85546875" customWidth="1"/>
  </cols>
  <sheetData>
    <row r="1" spans="1:27" ht="12" customHeight="1">
      <c r="A1" s="14" t="s">
        <v>5</v>
      </c>
      <c r="B1" s="15"/>
      <c r="C1" s="15" t="e">
        <f>#REF!</f>
        <v>#REF!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213" t="s">
        <v>6</v>
      </c>
      <c r="Q1" s="207"/>
      <c r="R1" s="207"/>
      <c r="S1" s="207"/>
      <c r="T1" s="214">
        <v>15762</v>
      </c>
      <c r="U1" s="161"/>
      <c r="V1" s="16"/>
      <c r="W1" s="17"/>
      <c r="X1" s="18"/>
      <c r="Y1" s="18"/>
      <c r="Z1" s="18"/>
      <c r="AA1" s="18"/>
    </row>
    <row r="2" spans="1:27" ht="12" customHeight="1">
      <c r="A2" s="19"/>
      <c r="B2" s="18"/>
      <c r="C2" s="18"/>
      <c r="D2" s="215" t="s">
        <v>7</v>
      </c>
      <c r="E2" s="161"/>
      <c r="F2" s="161"/>
      <c r="G2" s="161"/>
      <c r="H2" s="20"/>
      <c r="I2" s="20"/>
      <c r="J2" s="18"/>
      <c r="K2" s="18"/>
      <c r="L2" s="18"/>
      <c r="M2" s="18"/>
      <c r="N2" s="18"/>
      <c r="O2" s="18"/>
      <c r="P2" s="18"/>
      <c r="Q2" s="18"/>
      <c r="R2" s="18"/>
      <c r="S2" s="18"/>
      <c r="T2" s="161"/>
      <c r="U2" s="161"/>
      <c r="V2" s="18"/>
      <c r="W2" s="21"/>
      <c r="X2" s="18"/>
      <c r="Y2" s="18"/>
      <c r="Z2" s="18"/>
      <c r="AA2" s="18"/>
    </row>
    <row r="3" spans="1:27" ht="12" customHeight="1">
      <c r="A3" s="19" t="s">
        <v>8</v>
      </c>
      <c r="B3" s="22"/>
      <c r="C3" s="22" t="e">
        <f>#REF!</f>
        <v>#REF!</v>
      </c>
      <c r="D3" s="18" t="s">
        <v>0</v>
      </c>
      <c r="E3" s="18"/>
      <c r="F3" s="18" t="s">
        <v>9</v>
      </c>
      <c r="G3" s="18"/>
      <c r="H3" s="23" t="e">
        <f>#REF!</f>
        <v>#REF!</v>
      </c>
      <c r="I3" s="22"/>
      <c r="J3" s="18"/>
      <c r="K3" s="24"/>
      <c r="L3" s="18"/>
      <c r="M3" s="18"/>
      <c r="Q3" s="18"/>
      <c r="R3" s="18"/>
      <c r="S3" s="18"/>
      <c r="T3" s="18"/>
      <c r="U3" s="18"/>
      <c r="V3" s="18"/>
      <c r="W3" s="21"/>
      <c r="X3" s="18"/>
      <c r="Y3" s="18"/>
      <c r="Z3" s="18"/>
      <c r="AA3" s="18"/>
    </row>
    <row r="4" spans="1:27" ht="12" customHeight="1">
      <c r="A4" s="19"/>
      <c r="B4" s="18"/>
      <c r="C4" s="18"/>
      <c r="D4" s="18"/>
      <c r="E4" s="18"/>
      <c r="F4" s="18"/>
      <c r="G4" s="18"/>
      <c r="H4" s="18"/>
      <c r="I4" s="18"/>
      <c r="J4" s="18"/>
      <c r="K4" s="24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21"/>
      <c r="X4" s="18"/>
      <c r="Y4" s="18"/>
      <c r="Z4" s="18"/>
      <c r="AA4" s="18"/>
    </row>
    <row r="5" spans="1:27" ht="12" customHeight="1">
      <c r="A5" s="19"/>
      <c r="B5" s="18"/>
      <c r="C5" s="18"/>
      <c r="D5" s="18"/>
      <c r="E5" s="216" t="s">
        <v>10</v>
      </c>
      <c r="F5" s="161"/>
      <c r="G5" s="161"/>
      <c r="H5" s="22" t="s">
        <v>11</v>
      </c>
      <c r="I5" s="18"/>
      <c r="J5" s="217" t="s">
        <v>12</v>
      </c>
      <c r="K5" s="218"/>
      <c r="L5" s="219"/>
      <c r="M5" s="22" t="s">
        <v>11</v>
      </c>
      <c r="N5" s="18"/>
      <c r="O5" s="18"/>
      <c r="P5" s="18"/>
      <c r="R5" s="220" t="s">
        <v>13</v>
      </c>
      <c r="S5" s="161"/>
      <c r="T5" s="161"/>
      <c r="U5" s="25" t="s">
        <v>14</v>
      </c>
      <c r="V5" s="18"/>
      <c r="W5" s="21"/>
      <c r="X5" s="18"/>
      <c r="Y5" s="18"/>
      <c r="Z5" s="18"/>
      <c r="AA5" s="18"/>
    </row>
    <row r="6" spans="1:27" ht="12" customHeight="1">
      <c r="A6" s="26"/>
      <c r="B6" s="25"/>
      <c r="C6" s="25"/>
      <c r="D6" s="25"/>
      <c r="E6" s="25"/>
      <c r="F6" s="25"/>
      <c r="G6" s="25"/>
      <c r="H6" s="25"/>
      <c r="I6" s="25"/>
      <c r="J6" s="25"/>
      <c r="K6" s="27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8"/>
      <c r="X6" s="18"/>
      <c r="Y6" s="18"/>
      <c r="Z6" s="18"/>
      <c r="AA6" s="18"/>
    </row>
    <row r="7" spans="1:27" ht="12" customHeight="1">
      <c r="A7" s="212" t="s">
        <v>15</v>
      </c>
      <c r="B7" s="186"/>
      <c r="C7" s="186"/>
      <c r="D7" s="186"/>
      <c r="E7" s="172"/>
      <c r="F7" s="29"/>
      <c r="G7" s="212" t="s">
        <v>16</v>
      </c>
      <c r="H7" s="186"/>
      <c r="I7" s="186"/>
      <c r="J7" s="186"/>
      <c r="K7" s="172"/>
      <c r="L7" s="29"/>
      <c r="M7" s="212" t="s">
        <v>17</v>
      </c>
      <c r="N7" s="186"/>
      <c r="O7" s="186"/>
      <c r="P7" s="172"/>
      <c r="Q7" s="29"/>
      <c r="R7" s="212" t="s">
        <v>18</v>
      </c>
      <c r="S7" s="186"/>
      <c r="T7" s="186"/>
      <c r="U7" s="186"/>
      <c r="V7" s="186"/>
      <c r="W7" s="172"/>
      <c r="X7" s="30"/>
      <c r="Y7" s="30"/>
      <c r="Z7" s="30"/>
      <c r="AA7" s="30"/>
    </row>
    <row r="8" spans="1:27" ht="12" customHeight="1">
      <c r="A8" s="31"/>
      <c r="B8" s="30"/>
      <c r="C8" s="30"/>
      <c r="D8" s="30"/>
      <c r="E8" s="30"/>
      <c r="F8" s="32"/>
      <c r="G8" s="30"/>
      <c r="H8" s="30"/>
      <c r="I8" s="30"/>
      <c r="J8" s="30"/>
      <c r="K8" s="30"/>
      <c r="L8" s="32"/>
      <c r="M8" s="30"/>
      <c r="N8" s="30"/>
      <c r="O8" s="30"/>
      <c r="P8" s="30"/>
      <c r="Q8" s="32"/>
      <c r="R8" s="30"/>
      <c r="S8" s="30"/>
      <c r="T8" s="30"/>
      <c r="U8" s="30"/>
      <c r="V8" s="30"/>
      <c r="W8" s="33"/>
      <c r="X8" s="30"/>
      <c r="Y8" s="30"/>
      <c r="Z8" s="30"/>
      <c r="AA8" s="30"/>
    </row>
    <row r="9" spans="1:27" ht="12" customHeight="1">
      <c r="A9" s="221" t="s">
        <v>19</v>
      </c>
      <c r="B9" s="154"/>
      <c r="C9" s="155"/>
      <c r="D9" s="34" t="s">
        <v>20</v>
      </c>
      <c r="E9" s="35" t="s">
        <v>21</v>
      </c>
      <c r="F9" s="36"/>
      <c r="G9" s="185" t="s">
        <v>22</v>
      </c>
      <c r="H9" s="186"/>
      <c r="I9" s="187"/>
      <c r="J9" s="222" t="s">
        <v>23</v>
      </c>
      <c r="K9" s="172"/>
      <c r="L9" s="36"/>
      <c r="M9" s="185" t="s">
        <v>22</v>
      </c>
      <c r="N9" s="186"/>
      <c r="O9" s="187"/>
      <c r="P9" s="35" t="s">
        <v>23</v>
      </c>
      <c r="Q9" s="36"/>
      <c r="R9" s="185" t="s">
        <v>24</v>
      </c>
      <c r="S9" s="186"/>
      <c r="T9" s="186"/>
      <c r="U9" s="187"/>
      <c r="V9" s="37" t="s">
        <v>25</v>
      </c>
      <c r="W9" s="35" t="s">
        <v>26</v>
      </c>
      <c r="X9" s="38"/>
      <c r="Y9" s="38"/>
      <c r="Z9" s="38"/>
      <c r="AA9" s="38"/>
    </row>
    <row r="10" spans="1:27" ht="45" customHeight="1">
      <c r="A10" s="182" t="s">
        <v>27</v>
      </c>
      <c r="B10" s="152"/>
      <c r="C10" s="153"/>
      <c r="D10" s="39" t="e">
        <f>#REF!</f>
        <v>#REF!</v>
      </c>
      <c r="E10" s="40" t="s">
        <v>28</v>
      </c>
      <c r="F10" s="41"/>
      <c r="G10" s="173" t="s">
        <v>29</v>
      </c>
      <c r="H10" s="152"/>
      <c r="I10" s="153"/>
      <c r="J10" s="174" t="s">
        <v>30</v>
      </c>
      <c r="K10" s="153"/>
      <c r="L10" s="41"/>
      <c r="M10" s="37"/>
      <c r="N10" s="37"/>
      <c r="O10" s="37"/>
      <c r="P10" s="37"/>
      <c r="Q10" s="41"/>
      <c r="R10" s="188" t="s">
        <v>31</v>
      </c>
      <c r="S10" s="156"/>
      <c r="T10" s="156"/>
      <c r="U10" s="157"/>
      <c r="V10" s="42" t="e">
        <f>#REF!</f>
        <v>#REF!</v>
      </c>
      <c r="W10" s="43" t="e">
        <f>P14+P22</f>
        <v>#REF!</v>
      </c>
      <c r="X10" s="30"/>
      <c r="Y10" s="30"/>
      <c r="Z10" s="30"/>
      <c r="AA10" s="30"/>
    </row>
    <row r="11" spans="1:27" ht="45" customHeight="1">
      <c r="A11" s="182" t="s">
        <v>32</v>
      </c>
      <c r="B11" s="152"/>
      <c r="C11" s="153"/>
      <c r="E11" s="44"/>
      <c r="F11" s="45"/>
      <c r="G11" s="173" t="s">
        <v>33</v>
      </c>
      <c r="H11" s="152"/>
      <c r="I11" s="153"/>
      <c r="J11" s="174" t="s">
        <v>34</v>
      </c>
      <c r="K11" s="153"/>
      <c r="L11" s="46"/>
      <c r="M11" s="210" t="s">
        <v>35</v>
      </c>
      <c r="N11" s="186"/>
      <c r="O11" s="187"/>
      <c r="P11" s="47" t="s">
        <v>36</v>
      </c>
      <c r="Q11" s="45"/>
      <c r="R11" s="189" t="s">
        <v>37</v>
      </c>
      <c r="S11" s="152"/>
      <c r="T11" s="152"/>
      <c r="U11" s="153"/>
      <c r="V11" s="48" t="e">
        <f t="shared" ref="V11:W11" si="0">V10</f>
        <v>#REF!</v>
      </c>
      <c r="W11" s="43" t="e">
        <f t="shared" si="0"/>
        <v>#REF!</v>
      </c>
      <c r="X11" s="30"/>
      <c r="Y11" s="30"/>
      <c r="Z11" s="30"/>
      <c r="AA11" s="30"/>
    </row>
    <row r="12" spans="1:27" ht="45" customHeight="1">
      <c r="A12" s="181"/>
      <c r="B12" s="169"/>
      <c r="C12" s="170"/>
      <c r="D12" s="49"/>
      <c r="E12" s="49"/>
      <c r="F12" s="45"/>
      <c r="G12" s="173" t="s">
        <v>38</v>
      </c>
      <c r="H12" s="152"/>
      <c r="I12" s="153"/>
      <c r="J12" s="174" t="e">
        <f>#REF!</f>
        <v>#REF!</v>
      </c>
      <c r="K12" s="153"/>
      <c r="L12" s="46"/>
      <c r="M12" s="37"/>
      <c r="N12" s="37"/>
      <c r="O12" s="37"/>
      <c r="P12" s="37"/>
      <c r="Q12" s="45"/>
      <c r="R12" s="190" t="s">
        <v>39</v>
      </c>
      <c r="S12" s="154"/>
      <c r="T12" s="154"/>
      <c r="U12" s="155"/>
      <c r="V12" s="50"/>
      <c r="W12" s="51"/>
      <c r="X12" s="30"/>
      <c r="Y12" s="30"/>
      <c r="Z12" s="30"/>
      <c r="AA12" s="30"/>
    </row>
    <row r="13" spans="1:27" ht="45" customHeight="1">
      <c r="A13" s="182" t="s">
        <v>40</v>
      </c>
      <c r="B13" s="152"/>
      <c r="C13" s="153"/>
      <c r="D13" s="39" t="e">
        <f>#REF!</f>
        <v>#REF!</v>
      </c>
      <c r="E13" s="52">
        <v>46115</v>
      </c>
      <c r="F13" s="45"/>
      <c r="G13" s="173" t="s">
        <v>41</v>
      </c>
      <c r="H13" s="152"/>
      <c r="I13" s="153"/>
      <c r="J13" s="174">
        <v>5.0999999999999996</v>
      </c>
      <c r="K13" s="153"/>
      <c r="L13" s="46"/>
      <c r="M13" s="206" t="s">
        <v>42</v>
      </c>
      <c r="N13" s="207"/>
      <c r="O13" s="192"/>
      <c r="P13" s="53" t="s">
        <v>43</v>
      </c>
      <c r="Q13" s="41"/>
      <c r="W13" s="54"/>
      <c r="X13" s="30"/>
      <c r="Y13" s="30"/>
      <c r="Z13" s="30"/>
      <c r="AA13" s="30"/>
    </row>
    <row r="14" spans="1:27" ht="30" customHeight="1">
      <c r="A14" s="182" t="s">
        <v>44</v>
      </c>
      <c r="B14" s="152"/>
      <c r="C14" s="153"/>
      <c r="D14" s="49" t="e">
        <f>#REF!</f>
        <v>#REF!</v>
      </c>
      <c r="E14" s="55">
        <v>4</v>
      </c>
      <c r="F14" s="45"/>
      <c r="G14" s="173" t="s">
        <v>45</v>
      </c>
      <c r="H14" s="152"/>
      <c r="I14" s="153"/>
      <c r="J14" s="174">
        <v>270</v>
      </c>
      <c r="K14" s="153"/>
      <c r="L14" s="46"/>
      <c r="M14" s="188" t="s">
        <v>46</v>
      </c>
      <c r="N14" s="156"/>
      <c r="O14" s="157"/>
      <c r="P14" s="43" t="e">
        <f>#REF!</f>
        <v>#REF!</v>
      </c>
      <c r="Q14" s="45"/>
      <c r="R14" s="208" t="s">
        <v>47</v>
      </c>
      <c r="S14" s="152"/>
      <c r="T14" s="152"/>
      <c r="U14" s="152"/>
      <c r="V14" s="153"/>
      <c r="W14" s="56" t="e">
        <f>+W10/K21</f>
        <v>#REF!</v>
      </c>
      <c r="X14" s="30"/>
      <c r="Y14" s="30"/>
      <c r="Z14" s="30"/>
      <c r="AA14" s="30"/>
    </row>
    <row r="15" spans="1:27" ht="30" customHeight="1">
      <c r="A15" s="183" t="s">
        <v>48</v>
      </c>
      <c r="B15" s="158"/>
      <c r="C15" s="159"/>
      <c r="D15" s="49"/>
      <c r="E15" s="49"/>
      <c r="F15" s="45"/>
      <c r="G15" s="173" t="s">
        <v>49</v>
      </c>
      <c r="H15" s="152"/>
      <c r="I15" s="153"/>
      <c r="J15" s="174" t="s">
        <v>50</v>
      </c>
      <c r="K15" s="153"/>
      <c r="L15" s="46"/>
      <c r="M15" s="57"/>
      <c r="N15" s="57"/>
      <c r="O15" s="57"/>
      <c r="P15" s="57"/>
      <c r="Q15" s="41"/>
      <c r="R15" s="209" t="s">
        <v>51</v>
      </c>
      <c r="S15" s="162"/>
      <c r="T15" s="162"/>
      <c r="U15" s="199"/>
      <c r="V15" s="58"/>
      <c r="W15" s="59" t="s">
        <v>52</v>
      </c>
      <c r="X15" s="30"/>
      <c r="Y15" s="30"/>
      <c r="Z15" s="30"/>
      <c r="AA15" s="30"/>
    </row>
    <row r="16" spans="1:27" ht="30.75" customHeight="1">
      <c r="A16" s="184"/>
      <c r="B16" s="169"/>
      <c r="C16" s="170"/>
      <c r="D16" s="60"/>
      <c r="E16" s="61"/>
      <c r="F16" s="45"/>
      <c r="G16" s="175" t="s">
        <v>53</v>
      </c>
      <c r="H16" s="152"/>
      <c r="I16" s="62"/>
      <c r="J16" s="176"/>
      <c r="K16" s="153"/>
      <c r="L16" s="46"/>
      <c r="M16" s="57"/>
      <c r="N16" s="57"/>
      <c r="O16" s="57"/>
      <c r="P16" s="57"/>
      <c r="Q16" s="41"/>
      <c r="R16" s="37"/>
      <c r="S16" s="37"/>
      <c r="T16" s="37"/>
      <c r="U16" s="37"/>
      <c r="V16" s="37"/>
      <c r="W16" s="63"/>
      <c r="X16" s="30"/>
      <c r="Y16" s="30"/>
      <c r="Z16" s="30"/>
      <c r="AA16" s="30"/>
    </row>
    <row r="17" spans="1:27" ht="20.25" customHeight="1">
      <c r="A17" s="179"/>
      <c r="B17" s="169"/>
      <c r="C17" s="170"/>
      <c r="D17" s="37"/>
      <c r="E17" s="37"/>
      <c r="F17" s="45"/>
      <c r="G17" s="64"/>
      <c r="H17" s="64"/>
      <c r="I17" s="65" t="s">
        <v>54</v>
      </c>
      <c r="J17" s="65" t="s">
        <v>55</v>
      </c>
      <c r="K17" s="65" t="s">
        <v>56</v>
      </c>
      <c r="L17" s="46"/>
      <c r="M17" s="57"/>
      <c r="N17" s="57"/>
      <c r="O17" s="57"/>
      <c r="P17" s="57"/>
      <c r="Q17" s="41"/>
      <c r="R17" s="210" t="s">
        <v>57</v>
      </c>
      <c r="S17" s="186"/>
      <c r="T17" s="186"/>
      <c r="U17" s="187"/>
      <c r="V17" s="66"/>
      <c r="W17" s="67" t="e">
        <f>#REF!</f>
        <v>#REF!</v>
      </c>
      <c r="X17" s="30"/>
      <c r="Y17" s="30"/>
      <c r="Z17" s="30"/>
      <c r="AA17" s="30"/>
    </row>
    <row r="18" spans="1:27" ht="20.25" customHeight="1">
      <c r="A18" s="68"/>
      <c r="B18" s="69"/>
      <c r="C18" s="69"/>
      <c r="D18" s="70"/>
      <c r="E18" s="70"/>
      <c r="F18" s="45"/>
      <c r="G18" s="177" t="s">
        <v>58</v>
      </c>
      <c r="H18" s="153"/>
      <c r="I18" s="71"/>
      <c r="J18" s="71"/>
      <c r="K18" s="72">
        <v>3.0000000000000001E-3</v>
      </c>
      <c r="L18" s="46"/>
      <c r="M18" s="57"/>
      <c r="N18" s="57"/>
      <c r="O18" s="57"/>
      <c r="P18" s="57"/>
      <c r="Q18" s="41"/>
      <c r="R18" s="73"/>
      <c r="S18" s="73"/>
      <c r="T18" s="73"/>
      <c r="U18" s="73"/>
      <c r="V18" s="74"/>
      <c r="W18" s="67"/>
      <c r="X18" s="30"/>
      <c r="Y18" s="30"/>
      <c r="Z18" s="30"/>
      <c r="AA18" s="30"/>
    </row>
    <row r="19" spans="1:27" ht="18.75" customHeight="1">
      <c r="A19" s="180" t="s">
        <v>59</v>
      </c>
      <c r="B19" s="152"/>
      <c r="C19" s="153"/>
      <c r="D19" s="75"/>
      <c r="E19" s="49"/>
      <c r="F19" s="45"/>
      <c r="G19" s="178"/>
      <c r="H19" s="152"/>
      <c r="I19" s="153"/>
      <c r="J19" s="76"/>
      <c r="K19" s="77"/>
      <c r="L19" s="46"/>
      <c r="M19" s="57"/>
      <c r="N19" s="57"/>
      <c r="O19" s="57"/>
      <c r="P19" s="57"/>
      <c r="Q19" s="45"/>
      <c r="R19" s="191" t="s">
        <v>60</v>
      </c>
      <c r="S19" s="192"/>
      <c r="T19" s="2" t="s">
        <v>61</v>
      </c>
      <c r="U19" s="2" t="s">
        <v>62</v>
      </c>
      <c r="V19" s="2" t="s">
        <v>63</v>
      </c>
      <c r="W19" s="3" t="s">
        <v>64</v>
      </c>
      <c r="X19" s="30"/>
      <c r="Y19" s="30"/>
      <c r="Z19" s="30"/>
      <c r="AA19" s="30"/>
    </row>
    <row r="20" spans="1:27" ht="30" customHeight="1">
      <c r="A20" s="182" t="s">
        <v>65</v>
      </c>
      <c r="B20" s="152"/>
      <c r="C20" s="153"/>
      <c r="D20" s="78" t="e">
        <f>D10+D13+D14</f>
        <v>#REF!</v>
      </c>
      <c r="E20" s="79"/>
      <c r="F20" s="45"/>
      <c r="G20" s="238" t="s">
        <v>66</v>
      </c>
      <c r="H20" s="152"/>
      <c r="I20" s="152"/>
      <c r="J20" s="160"/>
      <c r="K20" s="80"/>
      <c r="L20" s="46"/>
      <c r="M20" s="57"/>
      <c r="N20" s="57"/>
      <c r="O20" s="57"/>
      <c r="P20" s="57"/>
      <c r="Q20" s="45"/>
      <c r="R20" s="164"/>
      <c r="S20" s="171"/>
      <c r="T20" s="9">
        <v>250</v>
      </c>
      <c r="U20" s="9" t="e">
        <f>#REF!*4</f>
        <v>#REF!</v>
      </c>
      <c r="V20" s="81" t="e">
        <f>H3+5</f>
        <v>#REF!</v>
      </c>
      <c r="W20" s="82" t="e">
        <f>H3+5</f>
        <v>#REF!</v>
      </c>
      <c r="X20" s="30"/>
      <c r="Y20" s="30"/>
      <c r="Z20" s="30"/>
      <c r="AA20" s="30"/>
    </row>
    <row r="21" spans="1:27" ht="30" customHeight="1">
      <c r="A21" s="180" t="s">
        <v>67</v>
      </c>
      <c r="B21" s="152"/>
      <c r="C21" s="153"/>
      <c r="D21" s="83" t="e">
        <f>K21*75%</f>
        <v>#REF!</v>
      </c>
      <c r="E21" s="84"/>
      <c r="F21" s="45"/>
      <c r="G21" s="238" t="s">
        <v>68</v>
      </c>
      <c r="H21" s="152"/>
      <c r="I21" s="152"/>
      <c r="J21" s="160"/>
      <c r="K21" s="85" t="e">
        <f>#REF!</f>
        <v>#REF!</v>
      </c>
      <c r="L21" s="46"/>
      <c r="M21" s="211" t="s">
        <v>69</v>
      </c>
      <c r="N21" s="152"/>
      <c r="O21" s="153"/>
      <c r="P21" s="4"/>
      <c r="Q21" s="45"/>
      <c r="R21" s="164"/>
      <c r="S21" s="171"/>
      <c r="T21" s="4"/>
      <c r="U21" s="4"/>
      <c r="V21" s="4"/>
      <c r="W21" s="10"/>
      <c r="X21" s="30"/>
      <c r="Y21" s="30"/>
      <c r="Z21" s="30"/>
      <c r="AA21" s="30"/>
    </row>
    <row r="22" spans="1:27" ht="30" customHeight="1">
      <c r="A22" s="182" t="s">
        <v>70</v>
      </c>
      <c r="B22" s="152"/>
      <c r="C22" s="153"/>
      <c r="D22" s="86" t="e">
        <f>D21</f>
        <v>#REF!</v>
      </c>
      <c r="E22" s="87"/>
      <c r="F22" s="45"/>
      <c r="G22" s="239" t="s">
        <v>71</v>
      </c>
      <c r="H22" s="152"/>
      <c r="I22" s="152"/>
      <c r="J22" s="160"/>
      <c r="K22" s="88">
        <v>2</v>
      </c>
      <c r="L22" s="89"/>
      <c r="M22" s="211" t="s">
        <v>72</v>
      </c>
      <c r="N22" s="152"/>
      <c r="O22" s="153"/>
      <c r="P22" s="4"/>
      <c r="Q22" s="45"/>
      <c r="R22" s="184"/>
      <c r="S22" s="170"/>
      <c r="T22" s="4"/>
      <c r="U22" s="4"/>
      <c r="V22" s="4"/>
      <c r="W22" s="10"/>
      <c r="X22" s="38"/>
      <c r="Y22" s="38"/>
      <c r="Z22" s="38"/>
      <c r="AA22" s="38"/>
    </row>
    <row r="23" spans="1:27" ht="31.5" customHeight="1">
      <c r="A23" s="223"/>
      <c r="B23" s="161"/>
      <c r="C23" s="171"/>
      <c r="D23" s="13"/>
      <c r="E23" s="13"/>
      <c r="F23" s="45"/>
      <c r="G23" s="232"/>
      <c r="H23" s="152"/>
      <c r="I23" s="152"/>
      <c r="J23" s="160"/>
      <c r="K23" s="90"/>
      <c r="L23" s="89"/>
      <c r="M23" s="193"/>
      <c r="N23" s="158"/>
      <c r="O23" s="159"/>
      <c r="P23" s="91"/>
      <c r="Q23" s="45"/>
      <c r="R23" s="229" t="s">
        <v>73</v>
      </c>
      <c r="S23" s="162"/>
      <c r="T23" s="199"/>
      <c r="U23" s="230" t="s">
        <v>74</v>
      </c>
      <c r="V23" s="162"/>
      <c r="W23" s="163"/>
      <c r="X23" s="38"/>
      <c r="Y23" s="38"/>
      <c r="Z23" s="38"/>
      <c r="AA23" s="38"/>
    </row>
    <row r="24" spans="1:27" ht="37.5" customHeight="1">
      <c r="A24" s="224" t="s">
        <v>75</v>
      </c>
      <c r="B24" s="154"/>
      <c r="C24" s="155"/>
      <c r="D24" s="92" t="s">
        <v>50</v>
      </c>
      <c r="E24" s="93"/>
      <c r="F24" s="45"/>
      <c r="G24" s="233" t="s">
        <v>76</v>
      </c>
      <c r="H24" s="152"/>
      <c r="I24" s="152"/>
      <c r="J24" s="160"/>
      <c r="K24" s="94"/>
      <c r="L24" s="89"/>
      <c r="M24" s="193" t="s">
        <v>77</v>
      </c>
      <c r="N24" s="158"/>
      <c r="O24" s="159"/>
      <c r="P24" s="91" t="s">
        <v>78</v>
      </c>
      <c r="Q24" s="45"/>
      <c r="R24" s="231" t="s">
        <v>79</v>
      </c>
      <c r="S24" s="186"/>
      <c r="T24" s="186"/>
      <c r="U24" s="186"/>
      <c r="V24" s="186"/>
      <c r="W24" s="172"/>
      <c r="X24" s="30"/>
      <c r="Y24" s="30"/>
      <c r="Z24" s="30"/>
      <c r="AA24" s="30"/>
    </row>
    <row r="25" spans="1:27" ht="42" customHeight="1">
      <c r="A25" s="181" t="s">
        <v>80</v>
      </c>
      <c r="B25" s="169"/>
      <c r="C25" s="170"/>
      <c r="D25" s="92" t="s">
        <v>50</v>
      </c>
      <c r="E25" s="95"/>
      <c r="F25" s="45"/>
      <c r="G25" s="233" t="s">
        <v>81</v>
      </c>
      <c r="H25" s="152"/>
      <c r="I25" s="152"/>
      <c r="J25" s="160"/>
      <c r="K25" s="96" t="e">
        <f>#REF!</f>
        <v>#REF!</v>
      </c>
      <c r="L25" s="89"/>
      <c r="M25" s="194"/>
      <c r="N25" s="161"/>
      <c r="O25" s="171"/>
      <c r="P25" s="97" t="s">
        <v>82</v>
      </c>
      <c r="Q25" s="45"/>
      <c r="R25" s="195" t="s">
        <v>83</v>
      </c>
      <c r="S25" s="169"/>
      <c r="T25" s="170"/>
      <c r="U25" s="98" t="s">
        <v>84</v>
      </c>
      <c r="V25" s="99"/>
      <c r="W25" s="100" t="s">
        <v>85</v>
      </c>
      <c r="X25" s="30"/>
      <c r="Y25" s="30"/>
      <c r="Z25" s="30"/>
      <c r="AA25" s="30"/>
    </row>
    <row r="26" spans="1:27" ht="12" customHeight="1">
      <c r="A26" s="101"/>
      <c r="B26" s="102"/>
      <c r="C26" s="225" t="s">
        <v>86</v>
      </c>
      <c r="D26" s="226" t="s">
        <v>87</v>
      </c>
      <c r="E26" s="227" t="s">
        <v>88</v>
      </c>
      <c r="F26" s="45"/>
      <c r="G26" s="234" t="s">
        <v>89</v>
      </c>
      <c r="H26" s="152"/>
      <c r="I26" s="152"/>
      <c r="J26" s="160"/>
      <c r="K26" s="103" t="e">
        <f>#REF!</f>
        <v>#REF!</v>
      </c>
      <c r="L26" s="89"/>
      <c r="M26" s="168"/>
      <c r="N26" s="169"/>
      <c r="O26" s="170"/>
      <c r="P26" s="97" t="s">
        <v>90</v>
      </c>
      <c r="Q26" s="45"/>
      <c r="R26" s="196" t="s">
        <v>91</v>
      </c>
      <c r="S26" s="154"/>
      <c r="T26" s="155"/>
      <c r="U26" s="104" t="s">
        <v>84</v>
      </c>
      <c r="V26" s="105"/>
      <c r="W26" s="106" t="s">
        <v>85</v>
      </c>
      <c r="X26" s="30"/>
      <c r="Y26" s="30"/>
      <c r="Z26" s="30"/>
      <c r="AA26" s="30"/>
    </row>
    <row r="27" spans="1:27" ht="12" customHeight="1">
      <c r="A27" s="101"/>
      <c r="B27" s="102"/>
      <c r="C27" s="167"/>
      <c r="D27" s="201"/>
      <c r="E27" s="163"/>
      <c r="F27" s="45"/>
      <c r="G27" s="234" t="s">
        <v>92</v>
      </c>
      <c r="H27" s="152"/>
      <c r="I27" s="152"/>
      <c r="J27" s="160"/>
      <c r="K27" s="107" t="e">
        <f>#REF!</f>
        <v>#REF!</v>
      </c>
      <c r="L27" s="89"/>
      <c r="M27" s="235" t="s">
        <v>93</v>
      </c>
      <c r="N27" s="153"/>
      <c r="O27" s="6" t="s">
        <v>94</v>
      </c>
      <c r="P27" s="6" t="s">
        <v>95</v>
      </c>
      <c r="Q27" s="45"/>
      <c r="R27" s="197" t="s">
        <v>96</v>
      </c>
      <c r="S27" s="161"/>
      <c r="T27" s="171"/>
      <c r="U27" s="200" t="s">
        <v>84</v>
      </c>
      <c r="V27" s="202"/>
      <c r="W27" s="204" t="s">
        <v>85</v>
      </c>
      <c r="X27" s="30"/>
      <c r="Y27" s="30"/>
      <c r="Z27" s="30"/>
      <c r="AA27" s="30"/>
    </row>
    <row r="28" spans="1:27" ht="12" customHeight="1">
      <c r="A28" s="228" t="s">
        <v>97</v>
      </c>
      <c r="B28" s="155"/>
      <c r="C28" s="108"/>
      <c r="D28" s="332" t="s">
        <v>98</v>
      </c>
      <c r="E28" s="109"/>
      <c r="F28" s="110"/>
      <c r="G28" s="236" t="s">
        <v>99</v>
      </c>
      <c r="H28" s="154"/>
      <c r="I28" s="154"/>
      <c r="J28" s="237"/>
      <c r="K28" s="111"/>
      <c r="L28" s="112"/>
      <c r="M28" s="196" t="s">
        <v>100</v>
      </c>
      <c r="N28" s="154"/>
      <c r="O28" s="155"/>
      <c r="P28" s="11" t="e">
        <f>+K27</f>
        <v>#REF!</v>
      </c>
      <c r="Q28" s="110"/>
      <c r="R28" s="198"/>
      <c r="S28" s="162"/>
      <c r="T28" s="199"/>
      <c r="U28" s="201"/>
      <c r="V28" s="203"/>
      <c r="W28" s="205"/>
      <c r="X28" s="30"/>
      <c r="Y28" s="30"/>
      <c r="Z28" s="30"/>
      <c r="AA28" s="30"/>
    </row>
    <row r="29" spans="1:27" ht="12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2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2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2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2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2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2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2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2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2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2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2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2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2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2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2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2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2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2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2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2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2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2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2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2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2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2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2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2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2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2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2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2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2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2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2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2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2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2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2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2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2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2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2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2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2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2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2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2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2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2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2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2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2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2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2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2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2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2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2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2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2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2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2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2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2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2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2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2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2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2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2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2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2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2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2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2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2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2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2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2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2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2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2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2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2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2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2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2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2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2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2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2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2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2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2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2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2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2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2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2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2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2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2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2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2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2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2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2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2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2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2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2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2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2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2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2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2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2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2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2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2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2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2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2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2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2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2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2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2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2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2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2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2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2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2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2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2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2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2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2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2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2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2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2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2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2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2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2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2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2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2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2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2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2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2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2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2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2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2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2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2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2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2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2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2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2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2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2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2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2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2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2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2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2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2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2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2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2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2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2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2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2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2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2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2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2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2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2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2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2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2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ht="12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12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ht="12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ht="12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12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ht="12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ht="12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12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ht="12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ht="12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ht="12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ht="12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ht="12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ht="12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ht="12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ht="12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ht="12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ht="12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ht="12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ht="12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ht="12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ht="12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ht="12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ht="12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ht="12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12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ht="12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ht="12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ht="12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12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ht="12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ht="12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ht="12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ht="12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12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ht="12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ht="12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12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ht="12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ht="12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ht="12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ht="12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ht="12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ht="12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ht="12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ht="12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ht="12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ht="12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ht="12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ht="12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ht="12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ht="12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12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ht="12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ht="12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12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ht="12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ht="12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12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ht="12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ht="12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12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ht="12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ht="12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ht="12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12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ht="12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ht="12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12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ht="12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ht="12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ht="12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ht="12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ht="12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ht="12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ht="12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ht="12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ht="12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ht="12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ht="12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ht="12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ht="12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ht="12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spans="1:27" ht="12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spans="1:27" ht="12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spans="1:27" ht="12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spans="1:27" ht="12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spans="1:27" ht="12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spans="1:27" ht="12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spans="1:27" ht="12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spans="1:27" ht="12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spans="1:27" ht="12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spans="1:27" ht="12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spans="1:27" ht="12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spans="1:27" ht="12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spans="1:27" ht="12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spans="1:27" ht="12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spans="1:27" ht="12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spans="1:27" ht="12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spans="1:27" ht="12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spans="1:27" ht="12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spans="1:27" ht="12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spans="1:27" ht="12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spans="1:27" ht="12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spans="1:27" ht="12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spans="1:27" ht="12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spans="1:27" ht="12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spans="1:27" ht="12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spans="1:27" ht="12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spans="1:27" ht="12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spans="1:27" ht="12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spans="1:27" ht="12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spans="1:27" ht="12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spans="1:27" ht="12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spans="1:27" ht="12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spans="1:27" ht="12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spans="1:27" ht="12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spans="1:27" ht="12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spans="1:27" ht="12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spans="1:27" ht="12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spans="1:27" ht="12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spans="1:27" ht="12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spans="1:27" ht="12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spans="1:27" ht="12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spans="1:27" ht="12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spans="1:27" ht="12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spans="1:27" ht="12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spans="1:27" ht="12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spans="1:27" ht="12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spans="1:27" ht="12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spans="1:27" ht="12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spans="1:27" ht="12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spans="1:27" ht="12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spans="1:27" ht="12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spans="1:27" ht="12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spans="1:27" ht="12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spans="1:27" ht="12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spans="1:27" ht="12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spans="1:27" ht="12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spans="1:27" ht="12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spans="1:27" ht="12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spans="1:27" ht="12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spans="1:27" ht="12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spans="1:27" ht="12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spans="1:27" ht="12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spans="1:27" ht="12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spans="1:27" ht="12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spans="1:27" ht="12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spans="1:27" ht="12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spans="1:27" ht="12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spans="1:27" ht="12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spans="1:27" ht="12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spans="1:27" ht="12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spans="1:27" ht="12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spans="1:27" ht="12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spans="1:27" ht="12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spans="1:27" ht="12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spans="1:27" ht="12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spans="1:27" ht="12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spans="1:27" ht="12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spans="1:27" ht="12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spans="1:27" ht="12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spans="1:27" ht="12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spans="1:27" ht="12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spans="1:27" ht="12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spans="1:27" ht="12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spans="1:27" ht="12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spans="1:27" ht="12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spans="1:27" ht="12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spans="1:27" ht="12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spans="1:27" ht="12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spans="1:27" ht="12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spans="1:27" ht="12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spans="1:27" ht="12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spans="1:27" ht="12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spans="1:27" ht="12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spans="1:27" ht="12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spans="1:27" ht="12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spans="1:27" ht="12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spans="1:27" ht="12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spans="1:27" ht="12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spans="1:27" ht="12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spans="1:27" ht="12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spans="1:27" ht="12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spans="1:27" ht="12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spans="1:27" ht="12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spans="1:27" ht="12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spans="1:27" ht="12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spans="1:27" ht="12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spans="1:27" ht="12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spans="1:27" ht="12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spans="1:27" ht="12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spans="1:27" ht="12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spans="1:27" ht="12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spans="1:27" ht="12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spans="1:27" ht="12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spans="1:27" ht="12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spans="1:27" ht="12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spans="1:27" ht="12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spans="1:27" ht="12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spans="1:27" ht="12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spans="1:27" ht="12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spans="1:27" ht="12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spans="1:27" ht="12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spans="1:27" ht="12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spans="1:27" ht="12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spans="1:27" ht="12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spans="1:27" ht="12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spans="1:27" ht="12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spans="1:27" ht="12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spans="1:27" ht="12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spans="1:27" ht="12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spans="1:27" ht="12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spans="1:27" ht="12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spans="1:27" ht="12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spans="1:27" ht="12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spans="1:27" ht="12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spans="1:27" ht="12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spans="1:27" ht="12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spans="1:27" ht="12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spans="1:27" ht="12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spans="1:27" ht="12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spans="1:27" ht="12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spans="1:27" ht="12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spans="1:27" ht="12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spans="1:27" ht="12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spans="1:27" ht="12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spans="1:27" ht="12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spans="1:27" ht="12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spans="1:27" ht="12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spans="1:27" ht="12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spans="1:27" ht="12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spans="1:27" ht="12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spans="1:27" ht="12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spans="1:27" ht="12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spans="1:27" ht="12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spans="1:27" ht="12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spans="1:27" ht="12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spans="1:27" ht="12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spans="1:27" ht="12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spans="1:27" ht="12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spans="1:27" ht="12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spans="1:27" ht="12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spans="1:27" ht="12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spans="1:27" ht="12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spans="1:27" ht="12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spans="1:27" ht="12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spans="1:27" ht="12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spans="1:27" ht="12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spans="1:27" ht="12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spans="1:27" ht="12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spans="1:27" ht="12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spans="1:27" ht="12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spans="1:27" ht="12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spans="1:27" ht="12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spans="1:27" ht="12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spans="1:27" ht="12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spans="1:27" ht="12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spans="1:27" ht="12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spans="1:27" ht="12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spans="1:27" ht="12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spans="1:27" ht="12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spans="1:27" ht="12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spans="1:27" ht="12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spans="1:27" ht="12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spans="1:27" ht="12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spans="1:27" ht="12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spans="1:27" ht="12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spans="1:27" ht="12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spans="1:27" ht="12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spans="1:27" ht="12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spans="1:27" ht="12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spans="1:27" ht="12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spans="1:27" ht="12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spans="1:27" ht="12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spans="1:27" ht="12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spans="1:27" ht="12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spans="1:27" ht="12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spans="1:27" ht="12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spans="1:27" ht="12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spans="1:27" ht="12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spans="1:27" ht="12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spans="1:27" ht="12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spans="1:27" ht="12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spans="1:27" ht="12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spans="1:27" ht="12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spans="1:27" ht="12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spans="1:27" ht="12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spans="1:27" ht="12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spans="1:27" ht="12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spans="1:27" ht="12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spans="1:27" ht="12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spans="1:27" ht="12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spans="1:27" ht="12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spans="1:27" ht="12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spans="1:27" ht="12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spans="1:27" ht="12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spans="1:27" ht="12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spans="1:27" ht="12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spans="1:27" ht="12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spans="1:27" ht="12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spans="1:27" ht="12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spans="1:27" ht="12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spans="1:27" ht="12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spans="1:27" ht="12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spans="1:27" ht="12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spans="1:27" ht="12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spans="1:27" ht="12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spans="1:27" ht="12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spans="1:27" ht="12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spans="1:27" ht="12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spans="1:27" ht="12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spans="1:27" ht="12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spans="1:27" ht="12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spans="1:27" ht="12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spans="1:27" ht="12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spans="1:27" ht="12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spans="1:27" ht="12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spans="1:27" ht="12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spans="1:27" ht="12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spans="1:27" ht="12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spans="1:27" ht="12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spans="1:27" ht="12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spans="1:27" ht="12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spans="1:27" ht="12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spans="1:27" ht="12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spans="1:27" ht="12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spans="1:27" ht="12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spans="1:27" ht="12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spans="1:27" ht="12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spans="1:27" ht="12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spans="1:27" ht="12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spans="1:27" ht="12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spans="1:27" ht="12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spans="1:27" ht="12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spans="1:27" ht="12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spans="1:27" ht="12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spans="1:27" ht="12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spans="1:27" ht="12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spans="1:27" ht="12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spans="1:27" ht="12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spans="1:27" ht="12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spans="1:27" ht="12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spans="1:27" ht="12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spans="1:27" ht="12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spans="1:27" ht="12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spans="1:27" ht="12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spans="1:27" ht="12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spans="1:27" ht="12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spans="1:27" ht="12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spans="1:27" ht="12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spans="1:27" ht="12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spans="1:27" ht="12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spans="1:27" ht="12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spans="1:27" ht="12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spans="1:27" ht="12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spans="1:27" ht="12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spans="1:27" ht="12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spans="1:27" ht="12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spans="1:27" ht="12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spans="1:27" ht="12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spans="1:27" ht="12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spans="1:27" ht="12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spans="1:27" ht="12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spans="1:27" ht="12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spans="1:27" ht="12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spans="1:27" ht="12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spans="1:27" ht="12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spans="1:27" ht="12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spans="1:27" ht="12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spans="1:27" ht="12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spans="1:27" ht="12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spans="1:27" ht="12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spans="1:27" ht="12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spans="1:27" ht="12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spans="1:27" ht="12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spans="1:27" ht="12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spans="1:27" ht="12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spans="1:27" ht="12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spans="1:27" ht="12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spans="1:27" ht="12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spans="1:27" ht="12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spans="1:27" ht="12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spans="1:27" ht="12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spans="1:27" ht="12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spans="1:27" ht="12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spans="1:27" ht="12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spans="1:27" ht="12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spans="1:27" ht="12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spans="1:27" ht="12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spans="1:27" ht="12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spans="1:27" ht="12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spans="1:27" ht="12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spans="1:27" ht="12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spans="1:27" ht="12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spans="1:27" ht="12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spans="1:27" ht="12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spans="1:27" ht="12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spans="1:27" ht="12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spans="1:27" ht="12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spans="1:27" ht="12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spans="1:27" ht="12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spans="1:27" ht="12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spans="1:27" ht="12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spans="1:27" ht="12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spans="1:27" ht="12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spans="1:27" ht="12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spans="1:27" ht="12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spans="1:27" ht="12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spans="1:27" ht="12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spans="1:27" ht="12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spans="1:27" ht="12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spans="1:27" ht="12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spans="1:27" ht="12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spans="1:27" ht="12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spans="1:27" ht="12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spans="1:27" ht="12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spans="1:27" ht="12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spans="1:27" ht="12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spans="1:27" ht="12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spans="1:27" ht="12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spans="1:27" ht="12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spans="1:27" ht="12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spans="1:27" ht="12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spans="1:27" ht="12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spans="1:27" ht="12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spans="1:27" ht="12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spans="1:27" ht="12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spans="1:27" ht="12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spans="1:27" ht="12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spans="1:27" ht="12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spans="1:27" ht="12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spans="1:27" ht="12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spans="1:27" ht="12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spans="1:27" ht="12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spans="1:27" ht="12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spans="1:27" ht="12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spans="1:27" ht="12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spans="1:27" ht="12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spans="1:27" ht="12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spans="1:27" ht="12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spans="1:27" ht="12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spans="1:27" ht="12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spans="1:27" ht="12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spans="1:27" ht="12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spans="1:27" ht="12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spans="1:27" ht="12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spans="1:27" ht="12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spans="1:27" ht="12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spans="1:27" ht="12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spans="1:27" ht="12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spans="1:27" ht="12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spans="1:27" ht="12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spans="1:27" ht="12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spans="1:27" ht="12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spans="1:27" ht="12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spans="1:27" ht="12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spans="1:27" ht="12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spans="1:27" ht="12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spans="1:27" ht="12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spans="1:27" ht="12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spans="1:27" ht="12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spans="1:27" ht="12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spans="1:27" ht="12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spans="1:27" ht="12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spans="1:27" ht="12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spans="1:27" ht="12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spans="1:27" ht="12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spans="1:27" ht="12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spans="1:27" ht="12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spans="1:27" ht="12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spans="1:27" ht="12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spans="1:27" ht="12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spans="1:27" ht="12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spans="1:27" ht="12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spans="1:27" ht="12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spans="1:27" ht="12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spans="1:27" ht="12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spans="1:27" ht="12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spans="1:27" ht="12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spans="1:27" ht="12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spans="1:27" ht="12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spans="1:27" ht="12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spans="1:27" ht="12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spans="1:27" ht="12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spans="1:27" ht="12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spans="1:27" ht="12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spans="1:27" ht="12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spans="1:27" ht="12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spans="1:27" ht="12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spans="1:27" ht="12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spans="1:27" ht="12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spans="1:27" ht="12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spans="1:27" ht="12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spans="1:27" ht="12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spans="1:27" ht="12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spans="1:27" ht="12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spans="1:27" ht="12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spans="1:27" ht="12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spans="1:27" ht="12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spans="1:27" ht="12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spans="1:27" ht="12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spans="1:27" ht="12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spans="1:27" ht="12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spans="1:27" ht="12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spans="1:27" ht="12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spans="1:27" ht="12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spans="1:27" ht="12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spans="1:27" ht="12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spans="1:27" ht="12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spans="1:27" ht="12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spans="1:27" ht="12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spans="1:27" ht="12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spans="1:27" ht="12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spans="1:27" ht="12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spans="1:27" ht="12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spans="1:27" ht="12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spans="1:27" ht="12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spans="1:27" ht="12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spans="1:27" ht="12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spans="1:27" ht="12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spans="1:27" ht="12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spans="1:27" ht="12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spans="1:27" ht="12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spans="1:27" ht="12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spans="1:27" ht="12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spans="1:27" ht="12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spans="1:27" ht="12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spans="1:27" ht="12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spans="1:27" ht="12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spans="1:27" ht="12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spans="1:27" ht="12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spans="1:27" ht="12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spans="1:27" ht="12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spans="1:27" ht="12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spans="1:27" ht="12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spans="1:27" ht="12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spans="1:27" ht="12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spans="1:27" ht="12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spans="1:27" ht="12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spans="1:27" ht="12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spans="1:27" ht="12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spans="1:27" ht="12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spans="1:27" ht="12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spans="1:27" ht="12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spans="1:27" ht="12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spans="1:27" ht="12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spans="1:27" ht="12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spans="1:27" ht="12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spans="1:27" ht="12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spans="1:27" ht="12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spans="1:27" ht="12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spans="1:27" ht="12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spans="1:27" ht="12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spans="1:27" ht="12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spans="1:27" ht="12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spans="1:27" ht="12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spans="1:27" ht="12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spans="1:27" ht="12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spans="1:27" ht="12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spans="1:27" ht="12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spans="1:27" ht="12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spans="1:27" ht="12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spans="1:27" ht="12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spans="1:27" ht="12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spans="1:27" ht="12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spans="1:27" ht="12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spans="1:27" ht="12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spans="1:27" ht="12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spans="1:27" ht="12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spans="1:27" ht="12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spans="1:27" ht="12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spans="1:27" ht="12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spans="1:27" ht="12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spans="1:27" ht="12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spans="1:27" ht="12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spans="1:27" ht="12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spans="1:27" ht="12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spans="1:27" ht="12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spans="1:27" ht="12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spans="1:27" ht="12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spans="1:27" ht="12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spans="1:27" ht="12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spans="1:27" ht="12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spans="1:27" ht="12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spans="1:27" ht="12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spans="1:27" ht="12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spans="1:27" ht="12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spans="1:27" ht="12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spans="1:27" ht="12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spans="1:27" ht="12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spans="1:27" ht="12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spans="1:27" ht="12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spans="1:27" ht="12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spans="1:27" ht="12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spans="1:27" ht="12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spans="1:27" ht="12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spans="1:27" ht="12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spans="1:27" ht="12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spans="1:27" ht="12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spans="1:27" ht="12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spans="1:27" ht="12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spans="1:27" ht="12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spans="1:27" ht="12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spans="1:27" ht="12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spans="1:27" ht="12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spans="1:27" ht="12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spans="1:27" ht="12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spans="1:27" ht="12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spans="1:27" ht="12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spans="1:27" ht="12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spans="1:27" ht="12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spans="1:27" ht="12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spans="1:27" ht="12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spans="1:27" ht="12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spans="1:27" ht="12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spans="1:27" ht="12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spans="1:27" ht="12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spans="1:27" ht="12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spans="1:27" ht="12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spans="1:27" ht="12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spans="1:27" ht="12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spans="1:27" ht="12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spans="1:27" ht="12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spans="1:27" ht="12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spans="1:27" ht="12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spans="1:27" ht="12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spans="1:27" ht="12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spans="1:27" ht="12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spans="1:27" ht="12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spans="1:27" ht="12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spans="1:27" ht="12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spans="1:27" ht="12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spans="1:27" ht="12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spans="1:27" ht="12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spans="1:27" ht="12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spans="1:27" ht="12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spans="1:27" ht="12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spans="1:27" ht="12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spans="1:27" ht="12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spans="1:27" ht="12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spans="1:27" ht="12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spans="1:27" ht="12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spans="1:27" ht="12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spans="1:27" ht="12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spans="1:27" ht="12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spans="1:27" ht="12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spans="1:27" ht="12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spans="1:27" ht="12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spans="1:27" ht="12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spans="1:27" ht="12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spans="1:27" ht="12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spans="1:27" ht="12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spans="1:27" ht="12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spans="1:27" ht="12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spans="1:27" ht="12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spans="1:27" ht="12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spans="1:27" ht="12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spans="1:27" ht="12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spans="1:27" ht="12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spans="1:27" ht="12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spans="1:27" ht="12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spans="1:27" ht="12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spans="1:27" ht="12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spans="1:27" ht="12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spans="1:27" ht="12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spans="1:27" ht="12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spans="1:27" ht="12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spans="1:27" ht="12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spans="1:27" ht="12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spans="1:27" ht="12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spans="1:27" ht="12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spans="1:27" ht="12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spans="1:27" ht="12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spans="1:27" ht="12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spans="1:27" ht="12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spans="1:27" ht="12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spans="1:27" ht="12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spans="1:27" ht="12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spans="1:27" ht="12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spans="1:27" ht="12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spans="1:27" ht="12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spans="1:27" ht="12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spans="1:27" ht="12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spans="1:27" ht="12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spans="1:27" ht="12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spans="1:27" ht="12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spans="1:27" ht="12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spans="1:27" ht="12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spans="1:27" ht="12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spans="1:27" ht="12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spans="1:27" ht="12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spans="1:27" ht="12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spans="1:27" ht="12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spans="1:27" ht="12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spans="1:27" ht="12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spans="1:27" ht="12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spans="1:27" ht="12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spans="1:27" ht="12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spans="1:27" ht="12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spans="1:27" ht="12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spans="1:27" ht="12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spans="1:27" ht="12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spans="1:27" ht="12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spans="1:27" ht="12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spans="1:27" ht="12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spans="1:27" ht="12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spans="1:27" ht="12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spans="1:27" ht="12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spans="1:27" ht="12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spans="1:27" ht="12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spans="1:27" ht="12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spans="1:27" ht="12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spans="1:27" ht="12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spans="1:27" ht="12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spans="1:27" ht="12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spans="1:27" ht="12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spans="1:27" ht="12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spans="1:27" ht="12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spans="1:27" ht="12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spans="1:27" ht="12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spans="1:27" ht="12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spans="1:27" ht="12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spans="1:27" ht="12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spans="1:27" ht="12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spans="1:27" ht="12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spans="1:27" ht="12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spans="1:27" ht="12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spans="1:27" ht="12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spans="1:27" ht="12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spans="1:27" ht="12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spans="1:27" ht="12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spans="1:27" ht="12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spans="1:27" ht="12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spans="1:27" ht="12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spans="1:27" ht="12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spans="1:27" ht="12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spans="1:27" ht="12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spans="1:27" ht="12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spans="1:27" ht="12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spans="1:27" ht="12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spans="1:27" ht="12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spans="1:27" ht="12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spans="1:27" ht="12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spans="1:27" ht="12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spans="1:27" ht="12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spans="1:27" ht="12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spans="1:27" ht="12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spans="1:27" ht="12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spans="1:27" ht="12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spans="1:27" ht="12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spans="1:27" ht="12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spans="1:27" ht="12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spans="1:27" ht="12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spans="1:27" ht="12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spans="1:27" ht="12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spans="1:27" ht="12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spans="1:27" ht="12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spans="1:27" ht="12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spans="1:27" ht="12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spans="1:27" ht="12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spans="1:27" ht="12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spans="1:27" ht="12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spans="1:27" ht="12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spans="1:27" ht="12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spans="1:27" ht="12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spans="1:27" ht="12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spans="1:27" ht="12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spans="1:27" ht="12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spans="1:27" ht="12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spans="1:27" ht="12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spans="1:27" ht="12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spans="1:27" ht="12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spans="1:27" ht="12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spans="1:27" ht="12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spans="1:27" ht="12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spans="1:27" ht="12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spans="1:27" ht="12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spans="1:27" ht="12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spans="1:27" ht="12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spans="1:27" ht="12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spans="1:27" ht="12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spans="1:27" ht="12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spans="1:27" ht="12" customHeight="1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X1005" s="30"/>
      <c r="Y1005" s="30"/>
      <c r="Z1005" s="30"/>
      <c r="AA1005" s="30"/>
    </row>
  </sheetData>
  <mergeCells count="83">
    <mergeCell ref="G22:J22"/>
    <mergeCell ref="G11:I11"/>
    <mergeCell ref="A20:C20"/>
    <mergeCell ref="G20:J20"/>
    <mergeCell ref="A21:C21"/>
    <mergeCell ref="G21:J21"/>
    <mergeCell ref="D26:D27"/>
    <mergeCell ref="E26:E27"/>
    <mergeCell ref="A28:B28"/>
    <mergeCell ref="M23:O23"/>
    <mergeCell ref="R23:T23"/>
    <mergeCell ref="R24:W24"/>
    <mergeCell ref="G23:J23"/>
    <mergeCell ref="G24:J24"/>
    <mergeCell ref="G25:J25"/>
    <mergeCell ref="G26:J26"/>
    <mergeCell ref="G27:J27"/>
    <mergeCell ref="M27:N27"/>
    <mergeCell ref="G28:J28"/>
    <mergeCell ref="A22:C22"/>
    <mergeCell ref="A23:C23"/>
    <mergeCell ref="A24:C24"/>
    <mergeCell ref="A25:C25"/>
    <mergeCell ref="C26:C27"/>
    <mergeCell ref="G7:K7"/>
    <mergeCell ref="M7:P7"/>
    <mergeCell ref="R7:W7"/>
    <mergeCell ref="P1:S1"/>
    <mergeCell ref="T1:U2"/>
    <mergeCell ref="D2:G2"/>
    <mergeCell ref="E5:G5"/>
    <mergeCell ref="J5:L5"/>
    <mergeCell ref="R5:T5"/>
    <mergeCell ref="A7:E7"/>
    <mergeCell ref="U27:U28"/>
    <mergeCell ref="V27:V28"/>
    <mergeCell ref="W27:W28"/>
    <mergeCell ref="M28:O28"/>
    <mergeCell ref="M13:O13"/>
    <mergeCell ref="M14:O14"/>
    <mergeCell ref="R14:V14"/>
    <mergeCell ref="R15:U15"/>
    <mergeCell ref="R17:U17"/>
    <mergeCell ref="M21:O21"/>
    <mergeCell ref="M22:O22"/>
    <mergeCell ref="U23:W23"/>
    <mergeCell ref="R19:S22"/>
    <mergeCell ref="M24:O26"/>
    <mergeCell ref="R25:T25"/>
    <mergeCell ref="R26:T26"/>
    <mergeCell ref="R27:T28"/>
    <mergeCell ref="A14:C14"/>
    <mergeCell ref="A15:C16"/>
    <mergeCell ref="R9:U9"/>
    <mergeCell ref="R10:U10"/>
    <mergeCell ref="R11:U11"/>
    <mergeCell ref="R12:U12"/>
    <mergeCell ref="J11:K11"/>
    <mergeCell ref="M11:O11"/>
    <mergeCell ref="A9:C9"/>
    <mergeCell ref="G9:I9"/>
    <mergeCell ref="J9:K9"/>
    <mergeCell ref="M9:O9"/>
    <mergeCell ref="A10:C10"/>
    <mergeCell ref="J10:K10"/>
    <mergeCell ref="A11:C11"/>
    <mergeCell ref="G10:I10"/>
    <mergeCell ref="A12:C12"/>
    <mergeCell ref="G12:I12"/>
    <mergeCell ref="J12:K12"/>
    <mergeCell ref="A13:C13"/>
    <mergeCell ref="J13:K13"/>
    <mergeCell ref="G16:H16"/>
    <mergeCell ref="J16:K16"/>
    <mergeCell ref="G18:H18"/>
    <mergeCell ref="G19:I19"/>
    <mergeCell ref="A17:C17"/>
    <mergeCell ref="A19:C19"/>
    <mergeCell ref="G13:I13"/>
    <mergeCell ref="G14:I14"/>
    <mergeCell ref="J14:K14"/>
    <mergeCell ref="G15:I15"/>
    <mergeCell ref="J15:K15"/>
  </mergeCells>
  <printOptions horizontalCentered="1"/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91"/>
  <sheetViews>
    <sheetView workbookViewId="0">
      <selection sqref="A1:O2"/>
    </sheetView>
  </sheetViews>
  <sheetFormatPr defaultColWidth="14.42578125" defaultRowHeight="15" customHeight="1"/>
  <cols>
    <col min="1" max="15" width="10.140625" customWidth="1"/>
    <col min="16" max="16" width="3.7109375" customWidth="1"/>
    <col min="17" max="26" width="8.85546875" customWidth="1"/>
  </cols>
  <sheetData>
    <row r="1" spans="1:26" ht="9.75" customHeight="1">
      <c r="A1" s="252" t="s">
        <v>101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  <c r="P1" s="11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>
      <c r="A2" s="255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256"/>
      <c r="P2" s="11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257" t="s">
        <v>102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243"/>
      <c r="P3" s="11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258" t="s">
        <v>103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259"/>
      <c r="P4" s="116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260" t="s">
        <v>2</v>
      </c>
      <c r="B5" s="249" t="s">
        <v>104</v>
      </c>
      <c r="C5" s="192"/>
      <c r="D5" s="262" t="s">
        <v>105</v>
      </c>
      <c r="E5" s="262" t="s">
        <v>106</v>
      </c>
      <c r="F5" s="117"/>
      <c r="G5" s="248"/>
      <c r="H5" s="192"/>
      <c r="I5" s="249" t="s">
        <v>107</v>
      </c>
      <c r="J5" s="192"/>
      <c r="K5" s="249" t="s">
        <v>108</v>
      </c>
      <c r="L5" s="192"/>
      <c r="M5" s="249" t="s">
        <v>109</v>
      </c>
      <c r="N5" s="207"/>
      <c r="O5" s="263"/>
      <c r="P5" s="13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261"/>
      <c r="B6" s="194"/>
      <c r="C6" s="171"/>
      <c r="D6" s="167"/>
      <c r="E6" s="167"/>
      <c r="F6" s="118"/>
      <c r="G6" s="194"/>
      <c r="H6" s="171"/>
      <c r="I6" s="194"/>
      <c r="J6" s="171"/>
      <c r="K6" s="194"/>
      <c r="L6" s="171"/>
      <c r="M6" s="194"/>
      <c r="N6" s="161"/>
      <c r="O6" s="246"/>
      <c r="P6" s="13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19" t="e">
        <f>#REF!</f>
        <v>#REF!</v>
      </c>
      <c r="B7" s="168"/>
      <c r="C7" s="170"/>
      <c r="D7" s="166"/>
      <c r="E7" s="166"/>
      <c r="F7" s="118"/>
      <c r="G7" s="168"/>
      <c r="H7" s="170"/>
      <c r="I7" s="168"/>
      <c r="J7" s="170"/>
      <c r="K7" s="168"/>
      <c r="L7" s="170"/>
      <c r="M7" s="168"/>
      <c r="N7" s="169"/>
      <c r="O7" s="256"/>
      <c r="P7" s="1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20"/>
      <c r="B8" s="174" t="s">
        <v>110</v>
      </c>
      <c r="C8" s="152"/>
      <c r="D8" s="153"/>
      <c r="E8" s="121" t="e">
        <f>#REF!</f>
        <v>#REF!</v>
      </c>
      <c r="F8" s="118"/>
      <c r="G8" s="113"/>
      <c r="H8" s="113"/>
      <c r="I8" s="250" t="s">
        <v>111</v>
      </c>
      <c r="J8" s="250" t="s">
        <v>112</v>
      </c>
      <c r="K8" s="264"/>
      <c r="L8" s="158"/>
      <c r="M8" s="158"/>
      <c r="N8" s="158"/>
      <c r="O8" s="245"/>
      <c r="P8" s="13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20"/>
      <c r="B9" s="174"/>
      <c r="C9" s="152"/>
      <c r="D9" s="153"/>
      <c r="E9" s="122"/>
      <c r="F9" s="118"/>
      <c r="G9" s="113"/>
      <c r="H9" s="113"/>
      <c r="I9" s="167"/>
      <c r="J9" s="167"/>
      <c r="K9" s="194"/>
      <c r="L9" s="161"/>
      <c r="M9" s="161"/>
      <c r="N9" s="161"/>
      <c r="O9" s="246"/>
      <c r="P9" s="1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20"/>
      <c r="B10" s="240" t="s">
        <v>113</v>
      </c>
      <c r="C10" s="152"/>
      <c r="D10" s="153"/>
      <c r="E10" s="122" t="e">
        <f>#REF!</f>
        <v>#REF!</v>
      </c>
      <c r="F10" s="251" t="s">
        <v>114</v>
      </c>
      <c r="G10" s="250" t="s">
        <v>115</v>
      </c>
      <c r="H10" s="251" t="s">
        <v>116</v>
      </c>
      <c r="I10" s="167"/>
      <c r="J10" s="167"/>
      <c r="K10" s="194"/>
      <c r="L10" s="161"/>
      <c r="M10" s="161"/>
      <c r="N10" s="161"/>
      <c r="O10" s="246"/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3"/>
      <c r="B11" s="241" t="s">
        <v>117</v>
      </c>
      <c r="C11" s="152"/>
      <c r="D11" s="153"/>
      <c r="E11" s="49" t="e">
        <f>#REF!+#REF!</f>
        <v>#REF!</v>
      </c>
      <c r="F11" s="166"/>
      <c r="G11" s="166"/>
      <c r="H11" s="166"/>
      <c r="I11" s="166"/>
      <c r="J11" s="166"/>
      <c r="K11" s="168"/>
      <c r="L11" s="169"/>
      <c r="M11" s="169"/>
      <c r="N11" s="169"/>
      <c r="O11" s="256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65" t="s">
        <v>118</v>
      </c>
      <c r="B12" s="240" t="e">
        <f>IF(#REF!&gt;0,#REF!,"")</f>
        <v>#REF!</v>
      </c>
      <c r="C12" s="153"/>
      <c r="D12" s="49" t="e">
        <f>IF(#REF!&gt;0,#REF!,"")</f>
        <v>#REF!</v>
      </c>
      <c r="E12" s="124"/>
      <c r="F12" s="124"/>
      <c r="G12" s="125" t="e">
        <f>#REF!</f>
        <v>#REF!</v>
      </c>
      <c r="H12" s="65" t="e">
        <f>IF(G12&gt;0,#REF!,"")</f>
        <v>#REF!</v>
      </c>
      <c r="I12" s="49" t="e">
        <f t="shared" ref="I12:I47" ca="1" si="0">IF(G12&gt;0,(CONCATENATE("3,",RANDBETWEEN(5,9)," °SH/50ml")),"")</f>
        <v>#REF!</v>
      </c>
      <c r="J12" s="49" t="e">
        <f t="shared" ref="J12:J47" ca="1" si="1">IF(G12&gt;0,(CONCATENATE(" T°C ",RANDBETWEEN(3,5),",",RANDBETWEEN(1,9))),"")</f>
        <v>#REF!</v>
      </c>
      <c r="K12" s="240" t="e">
        <f t="shared" ref="K12:K47" si="2">IF(G12&gt;0,(CONCATENATE("OK")),"")</f>
        <v>#REF!</v>
      </c>
      <c r="L12" s="153"/>
      <c r="M12" s="240"/>
      <c r="N12" s="152"/>
      <c r="O12" s="243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266"/>
      <c r="B13" s="240" t="e">
        <f>IF(#REF!&gt;0,#REF!,"")</f>
        <v>#REF!</v>
      </c>
      <c r="C13" s="153"/>
      <c r="D13" s="126" t="e">
        <f>IF(#REF!&gt;0,#REF!,"")</f>
        <v>#REF!</v>
      </c>
      <c r="E13" s="124"/>
      <c r="F13" s="124"/>
      <c r="G13" s="125" t="e">
        <f>#REF!</f>
        <v>#REF!</v>
      </c>
      <c r="H13" s="65" t="e">
        <f t="shared" ref="H13:H14" si="3">IF(G13&gt;0,#REF!,"")</f>
        <v>#REF!</v>
      </c>
      <c r="I13" s="49" t="e">
        <f t="shared" ca="1" si="0"/>
        <v>#REF!</v>
      </c>
      <c r="J13" s="49" t="e">
        <f t="shared" ca="1" si="1"/>
        <v>#REF!</v>
      </c>
      <c r="K13" s="240" t="e">
        <f t="shared" si="2"/>
        <v>#REF!</v>
      </c>
      <c r="L13" s="153"/>
      <c r="M13" s="240"/>
      <c r="N13" s="152"/>
      <c r="O13" s="243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266"/>
      <c r="B14" s="240" t="e">
        <f>IF(#REF!&gt;0,#REF!,"")</f>
        <v>#REF!</v>
      </c>
      <c r="C14" s="153"/>
      <c r="D14" s="49" t="e">
        <f>IF(#REF!&gt;0,#REF!,"")</f>
        <v>#REF!</v>
      </c>
      <c r="E14" s="124"/>
      <c r="F14" s="124"/>
      <c r="G14" s="125" t="e">
        <f>#REF!</f>
        <v>#REF!</v>
      </c>
      <c r="H14" s="65" t="e">
        <f t="shared" si="3"/>
        <v>#REF!</v>
      </c>
      <c r="I14" s="49" t="e">
        <f t="shared" ca="1" si="0"/>
        <v>#REF!</v>
      </c>
      <c r="J14" s="49" t="e">
        <f t="shared" ca="1" si="1"/>
        <v>#REF!</v>
      </c>
      <c r="K14" s="240" t="e">
        <f t="shared" si="2"/>
        <v>#REF!</v>
      </c>
      <c r="L14" s="153"/>
      <c r="M14" s="240"/>
      <c r="N14" s="152"/>
      <c r="O14" s="243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266"/>
      <c r="B15" s="240" t="e">
        <f>IF(#REF!&gt;0,#REF!,"")</f>
        <v>#REF!</v>
      </c>
      <c r="C15" s="153"/>
      <c r="D15" s="49" t="e">
        <f>IF(#REF!&gt;0,#REF!,"")</f>
        <v>#REF!</v>
      </c>
      <c r="E15" s="124"/>
      <c r="F15" s="124"/>
      <c r="G15" s="125" t="e">
        <f>#REF!</f>
        <v>#REF!</v>
      </c>
      <c r="H15" s="65" t="e">
        <f>IF(G15&gt;0,#REF!,"")</f>
        <v>#REF!</v>
      </c>
      <c r="I15" s="49" t="e">
        <f t="shared" ca="1" si="0"/>
        <v>#REF!</v>
      </c>
      <c r="J15" s="49" t="e">
        <f t="shared" ca="1" si="1"/>
        <v>#REF!</v>
      </c>
      <c r="K15" s="240" t="e">
        <f t="shared" si="2"/>
        <v>#REF!</v>
      </c>
      <c r="L15" s="153"/>
      <c r="M15" s="240"/>
      <c r="N15" s="152"/>
      <c r="O15" s="243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266"/>
      <c r="B16" s="240" t="e">
        <f>IF(#REF!&gt;0,#REF!,"")</f>
        <v>#REF!</v>
      </c>
      <c r="C16" s="153"/>
      <c r="D16" s="49" t="e">
        <f>IF(#REF!&gt;0,#REF!,"")</f>
        <v>#REF!</v>
      </c>
      <c r="E16" s="124"/>
      <c r="F16" s="124"/>
      <c r="G16" s="125" t="e">
        <f>#REF!</f>
        <v>#REF!</v>
      </c>
      <c r="H16" s="65" t="e">
        <f>IF(G16&gt;0,#REF!,"")</f>
        <v>#REF!</v>
      </c>
      <c r="I16" s="49" t="e">
        <f t="shared" ca="1" si="0"/>
        <v>#REF!</v>
      </c>
      <c r="J16" s="49" t="e">
        <f t="shared" ca="1" si="1"/>
        <v>#REF!</v>
      </c>
      <c r="K16" s="240" t="e">
        <f t="shared" si="2"/>
        <v>#REF!</v>
      </c>
      <c r="L16" s="153"/>
      <c r="M16" s="240"/>
      <c r="N16" s="152"/>
      <c r="O16" s="243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266"/>
      <c r="B17" s="240" t="e">
        <f>IF(#REF!&gt;0,#REF!,"")</f>
        <v>#REF!</v>
      </c>
      <c r="C17" s="153"/>
      <c r="D17" s="49" t="e">
        <f>IF(#REF!&gt;0,#REF!,"")</f>
        <v>#REF!</v>
      </c>
      <c r="E17" s="124"/>
      <c r="F17" s="124"/>
      <c r="G17" s="125" t="e">
        <f>#REF!</f>
        <v>#REF!</v>
      </c>
      <c r="H17" s="65" t="e">
        <f>IF(G17&gt;0,#REF!,"")</f>
        <v>#REF!</v>
      </c>
      <c r="I17" s="49" t="e">
        <f t="shared" ca="1" si="0"/>
        <v>#REF!</v>
      </c>
      <c r="J17" s="49" t="e">
        <f t="shared" ca="1" si="1"/>
        <v>#REF!</v>
      </c>
      <c r="K17" s="240" t="e">
        <f t="shared" si="2"/>
        <v>#REF!</v>
      </c>
      <c r="L17" s="153"/>
      <c r="M17" s="240"/>
      <c r="N17" s="152"/>
      <c r="O17" s="243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266"/>
      <c r="B18" s="240" t="e">
        <f>IF(#REF!&gt;0,#REF!,"")</f>
        <v>#REF!</v>
      </c>
      <c r="C18" s="153"/>
      <c r="D18" s="49" t="e">
        <f>IF(#REF!&gt;0,#REF!,"")</f>
        <v>#REF!</v>
      </c>
      <c r="E18" s="124"/>
      <c r="F18" s="124"/>
      <c r="G18" s="125" t="e">
        <f>#REF!</f>
        <v>#REF!</v>
      </c>
      <c r="H18" s="65" t="e">
        <f>IF(G18&gt;0,#REF!,"")</f>
        <v>#REF!</v>
      </c>
      <c r="I18" s="49" t="e">
        <f t="shared" ca="1" si="0"/>
        <v>#REF!</v>
      </c>
      <c r="J18" s="49" t="e">
        <f t="shared" ca="1" si="1"/>
        <v>#REF!</v>
      </c>
      <c r="K18" s="240" t="e">
        <f t="shared" si="2"/>
        <v>#REF!</v>
      </c>
      <c r="L18" s="153"/>
      <c r="M18" s="240"/>
      <c r="N18" s="152"/>
      <c r="O18" s="243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66"/>
      <c r="B19" s="240" t="e">
        <f>IF(#REF!&gt;0,#REF!,"")</f>
        <v>#REF!</v>
      </c>
      <c r="C19" s="153"/>
      <c r="D19" s="49" t="e">
        <f>IF(#REF!&gt;0,#REF!,"")</f>
        <v>#REF!</v>
      </c>
      <c r="E19" s="124"/>
      <c r="F19" s="124"/>
      <c r="G19" s="125" t="e">
        <f>#REF!</f>
        <v>#REF!</v>
      </c>
      <c r="H19" s="65" t="e">
        <f>IF(G19&gt;0,#REF!,"")</f>
        <v>#REF!</v>
      </c>
      <c r="I19" s="49" t="e">
        <f t="shared" ca="1" si="0"/>
        <v>#REF!</v>
      </c>
      <c r="J19" s="49" t="e">
        <f t="shared" ca="1" si="1"/>
        <v>#REF!</v>
      </c>
      <c r="K19" s="240" t="e">
        <f t="shared" si="2"/>
        <v>#REF!</v>
      </c>
      <c r="L19" s="153"/>
      <c r="M19" s="240"/>
      <c r="N19" s="152"/>
      <c r="O19" s="243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>
      <c r="A20" s="266"/>
      <c r="B20" s="240" t="e">
        <f>IF(#REF!&gt;0,#REF!,"")</f>
        <v>#REF!</v>
      </c>
      <c r="C20" s="153"/>
      <c r="D20" s="49" t="e">
        <f>IF(#REF!&gt;0,#REF!,"")</f>
        <v>#REF!</v>
      </c>
      <c r="E20" s="124"/>
      <c r="F20" s="124"/>
      <c r="G20" s="125" t="e">
        <f t="shared" ref="G20:G28" si="4">#REF!</f>
        <v>#REF!</v>
      </c>
      <c r="H20" s="65" t="e">
        <f>IF(G20&gt;0,#REF!,"")</f>
        <v>#REF!</v>
      </c>
      <c r="I20" s="49" t="e">
        <f t="shared" ca="1" si="0"/>
        <v>#REF!</v>
      </c>
      <c r="J20" s="49" t="e">
        <f t="shared" ca="1" si="1"/>
        <v>#REF!</v>
      </c>
      <c r="K20" s="240" t="e">
        <f t="shared" si="2"/>
        <v>#REF!</v>
      </c>
      <c r="L20" s="153"/>
      <c r="M20" s="240"/>
      <c r="N20" s="152"/>
      <c r="O20" s="243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>
      <c r="A21" s="266"/>
      <c r="B21" s="240" t="e">
        <f>IF(#REF!&gt;0,#REF!,"")</f>
        <v>#REF!</v>
      </c>
      <c r="C21" s="153"/>
      <c r="D21" s="49" t="e">
        <f>IF(#REF!&gt;0,#REF!,"")</f>
        <v>#REF!</v>
      </c>
      <c r="E21" s="124"/>
      <c r="F21" s="124"/>
      <c r="G21" s="125" t="e">
        <f t="shared" si="4"/>
        <v>#REF!</v>
      </c>
      <c r="H21" s="65" t="e">
        <f>IF(G21&gt;0,#REF!,"")</f>
        <v>#REF!</v>
      </c>
      <c r="I21" s="49" t="e">
        <f t="shared" ca="1" si="0"/>
        <v>#REF!</v>
      </c>
      <c r="J21" s="49" t="e">
        <f t="shared" ca="1" si="1"/>
        <v>#REF!</v>
      </c>
      <c r="K21" s="240" t="e">
        <f t="shared" si="2"/>
        <v>#REF!</v>
      </c>
      <c r="L21" s="153"/>
      <c r="M21" s="240"/>
      <c r="N21" s="152"/>
      <c r="O21" s="243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>
      <c r="A22" s="266"/>
      <c r="B22" s="240" t="e">
        <f>IF(#REF!&gt;0,#REF!,"")</f>
        <v>#REF!</v>
      </c>
      <c r="C22" s="153"/>
      <c r="D22" s="49" t="e">
        <f>IF(#REF!&gt;0,#REF!,"")</f>
        <v>#REF!</v>
      </c>
      <c r="E22" s="124"/>
      <c r="F22" s="124"/>
      <c r="G22" s="125" t="e">
        <f t="shared" si="4"/>
        <v>#REF!</v>
      </c>
      <c r="H22" s="65" t="e">
        <f>IF(G22&gt;0,#REF!,"")</f>
        <v>#REF!</v>
      </c>
      <c r="I22" s="49" t="e">
        <f t="shared" ca="1" si="0"/>
        <v>#REF!</v>
      </c>
      <c r="J22" s="49" t="e">
        <f t="shared" ca="1" si="1"/>
        <v>#REF!</v>
      </c>
      <c r="K22" s="240" t="e">
        <f t="shared" si="2"/>
        <v>#REF!</v>
      </c>
      <c r="L22" s="153"/>
      <c r="M22" s="240"/>
      <c r="N22" s="152"/>
      <c r="O22" s="243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>
      <c r="A23" s="266"/>
      <c r="B23" s="240" t="e">
        <f>IF(#REF!&gt;0,#REF!,"")</f>
        <v>#REF!</v>
      </c>
      <c r="C23" s="153"/>
      <c r="D23" s="49" t="e">
        <f>IF(#REF!&gt;0,#REF!,"")</f>
        <v>#REF!</v>
      </c>
      <c r="E23" s="124"/>
      <c r="F23" s="124"/>
      <c r="G23" s="125" t="e">
        <f t="shared" si="4"/>
        <v>#REF!</v>
      </c>
      <c r="H23" s="65" t="e">
        <f>IF(G23&gt;0,#REF!,"")</f>
        <v>#REF!</v>
      </c>
      <c r="I23" s="49" t="e">
        <f t="shared" ca="1" si="0"/>
        <v>#REF!</v>
      </c>
      <c r="J23" s="49" t="e">
        <f t="shared" ca="1" si="1"/>
        <v>#REF!</v>
      </c>
      <c r="K23" s="240" t="e">
        <f t="shared" si="2"/>
        <v>#REF!</v>
      </c>
      <c r="L23" s="153"/>
      <c r="M23" s="240"/>
      <c r="N23" s="152"/>
      <c r="O23" s="243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>
      <c r="A24" s="266"/>
      <c r="B24" s="240" t="e">
        <f>IF(#REF!&gt;0,#REF!,"")</f>
        <v>#REF!</v>
      </c>
      <c r="C24" s="153"/>
      <c r="D24" s="49" t="e">
        <f>IF(#REF!&gt;0,#REF!,"")</f>
        <v>#REF!</v>
      </c>
      <c r="E24" s="124"/>
      <c r="F24" s="124"/>
      <c r="G24" s="125" t="e">
        <f t="shared" si="4"/>
        <v>#REF!</v>
      </c>
      <c r="H24" s="65" t="e">
        <f>IF(G24&gt;0,#REF!,"")</f>
        <v>#REF!</v>
      </c>
      <c r="I24" s="49" t="e">
        <f t="shared" ca="1" si="0"/>
        <v>#REF!</v>
      </c>
      <c r="J24" s="49" t="e">
        <f t="shared" ca="1" si="1"/>
        <v>#REF!</v>
      </c>
      <c r="K24" s="240" t="e">
        <f t="shared" si="2"/>
        <v>#REF!</v>
      </c>
      <c r="L24" s="153"/>
      <c r="M24" s="240"/>
      <c r="N24" s="152"/>
      <c r="O24" s="243"/>
      <c r="P24" s="7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>
      <c r="A25" s="266"/>
      <c r="B25" s="240" t="e">
        <f>IF(#REF!&gt;0,#REF!,"")</f>
        <v>#REF!</v>
      </c>
      <c r="C25" s="153"/>
      <c r="D25" s="49" t="e">
        <f>IF(#REF!&gt;0,#REF!,"")</f>
        <v>#REF!</v>
      </c>
      <c r="E25" s="124"/>
      <c r="F25" s="124"/>
      <c r="G25" s="125" t="e">
        <f t="shared" si="4"/>
        <v>#REF!</v>
      </c>
      <c r="H25" s="65" t="e">
        <f>IF(G25&gt;0,#REF!,"")</f>
        <v>#REF!</v>
      </c>
      <c r="I25" s="49" t="e">
        <f t="shared" ca="1" si="0"/>
        <v>#REF!</v>
      </c>
      <c r="J25" s="49" t="e">
        <f t="shared" ca="1" si="1"/>
        <v>#REF!</v>
      </c>
      <c r="K25" s="240" t="e">
        <f t="shared" si="2"/>
        <v>#REF!</v>
      </c>
      <c r="L25" s="153"/>
      <c r="M25" s="240"/>
      <c r="N25" s="152"/>
      <c r="O25" s="243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>
      <c r="A26" s="266"/>
      <c r="B26" s="240" t="e">
        <f>IF(#REF!&gt;0,#REF!,"")</f>
        <v>#REF!</v>
      </c>
      <c r="C26" s="153"/>
      <c r="D26" s="49" t="e">
        <f>IF(#REF!&gt;0,#REF!,"")</f>
        <v>#REF!</v>
      </c>
      <c r="E26" s="124"/>
      <c r="F26" s="124"/>
      <c r="G26" s="125" t="e">
        <f t="shared" si="4"/>
        <v>#REF!</v>
      </c>
      <c r="H26" s="65" t="e">
        <f>IF(G26&gt;0,#REF!,"")</f>
        <v>#REF!</v>
      </c>
      <c r="I26" s="49" t="e">
        <f t="shared" ca="1" si="0"/>
        <v>#REF!</v>
      </c>
      <c r="J26" s="49" t="e">
        <f t="shared" ca="1" si="1"/>
        <v>#REF!</v>
      </c>
      <c r="K26" s="240" t="e">
        <f t="shared" si="2"/>
        <v>#REF!</v>
      </c>
      <c r="L26" s="153"/>
      <c r="M26" s="240"/>
      <c r="N26" s="152"/>
      <c r="O26" s="243"/>
      <c r="P26" s="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>
      <c r="A27" s="266"/>
      <c r="B27" s="240" t="e">
        <f>IF(#REF!&gt;0,#REF!,"")</f>
        <v>#REF!</v>
      </c>
      <c r="C27" s="153"/>
      <c r="D27" s="49" t="e">
        <f>IF(#REF!&gt;0,#REF!,"")</f>
        <v>#REF!</v>
      </c>
      <c r="E27" s="124"/>
      <c r="F27" s="124"/>
      <c r="G27" s="125" t="e">
        <f t="shared" si="4"/>
        <v>#REF!</v>
      </c>
      <c r="H27" s="65" t="e">
        <f>IF(G27&gt;0,#REF!,"")</f>
        <v>#REF!</v>
      </c>
      <c r="I27" s="49" t="e">
        <f t="shared" ca="1" si="0"/>
        <v>#REF!</v>
      </c>
      <c r="J27" s="49" t="e">
        <f t="shared" ca="1" si="1"/>
        <v>#REF!</v>
      </c>
      <c r="K27" s="240" t="e">
        <f t="shared" si="2"/>
        <v>#REF!</v>
      </c>
      <c r="L27" s="153"/>
      <c r="M27" s="240"/>
      <c r="N27" s="152"/>
      <c r="O27" s="243"/>
      <c r="P27" s="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hidden="1" customHeight="1">
      <c r="A28" s="261"/>
      <c r="B28" s="240" t="e">
        <f>IF(#REF!&gt;0,#REF!,"")</f>
        <v>#REF!</v>
      </c>
      <c r="C28" s="153"/>
      <c r="D28" s="49" t="e">
        <f>IF(#REF!&gt;0,#REF!,"")</f>
        <v>#REF!</v>
      </c>
      <c r="E28" s="124"/>
      <c r="F28" s="124"/>
      <c r="G28" s="125" t="e">
        <f t="shared" si="4"/>
        <v>#REF!</v>
      </c>
      <c r="H28" s="65" t="e">
        <f>IF(G28&gt;0,#REF!,"")</f>
        <v>#REF!</v>
      </c>
      <c r="I28" s="49" t="e">
        <f t="shared" ca="1" si="0"/>
        <v>#REF!</v>
      </c>
      <c r="J28" s="49" t="e">
        <f t="shared" ca="1" si="1"/>
        <v>#REF!</v>
      </c>
      <c r="K28" s="240" t="e">
        <f t="shared" si="2"/>
        <v>#REF!</v>
      </c>
      <c r="L28" s="153"/>
      <c r="M28" s="240"/>
      <c r="N28" s="152"/>
      <c r="O28" s="243"/>
      <c r="P28" s="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267" t="s">
        <v>119</v>
      </c>
      <c r="B29" s="240" t="e">
        <f>IF(#REF!&gt;0,#REF!,"")</f>
        <v>#REF!</v>
      </c>
      <c r="C29" s="153"/>
      <c r="D29" s="49" t="e">
        <f>IF(#REF!&gt;0,#REF!,"")</f>
        <v>#REF!</v>
      </c>
      <c r="E29" s="124"/>
      <c r="F29" s="113"/>
      <c r="G29" s="125" t="e">
        <f>#REF!</f>
        <v>#REF!</v>
      </c>
      <c r="H29" s="65" t="e">
        <f>IF(G29&gt;0,#REF!,"")</f>
        <v>#REF!</v>
      </c>
      <c r="I29" s="49" t="e">
        <f t="shared" ca="1" si="0"/>
        <v>#REF!</v>
      </c>
      <c r="J29" s="49" t="e">
        <f t="shared" ca="1" si="1"/>
        <v>#REF!</v>
      </c>
      <c r="K29" s="240" t="e">
        <f t="shared" si="2"/>
        <v>#REF!</v>
      </c>
      <c r="L29" s="153"/>
      <c r="M29" s="240"/>
      <c r="N29" s="152"/>
      <c r="O29" s="243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266"/>
      <c r="B30" s="240" t="e">
        <f>IF(#REF!&gt;0,#REF!,"")</f>
        <v>#REF!</v>
      </c>
      <c r="C30" s="153"/>
      <c r="D30" s="49" t="e">
        <f>IF(#REF!&gt;0,#REF!,"")</f>
        <v>#REF!</v>
      </c>
      <c r="E30" s="124"/>
      <c r="F30" s="113"/>
      <c r="G30" s="125" t="e">
        <f>#REF!</f>
        <v>#REF!</v>
      </c>
      <c r="H30" s="65" t="e">
        <f>IF(G30&gt;0,#REF!,"")</f>
        <v>#REF!</v>
      </c>
      <c r="I30" s="49" t="e">
        <f t="shared" ca="1" si="0"/>
        <v>#REF!</v>
      </c>
      <c r="J30" s="49" t="e">
        <f t="shared" ca="1" si="1"/>
        <v>#REF!</v>
      </c>
      <c r="K30" s="240" t="e">
        <f t="shared" si="2"/>
        <v>#REF!</v>
      </c>
      <c r="L30" s="153"/>
      <c r="M30" s="240"/>
      <c r="N30" s="152"/>
      <c r="O30" s="243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>
      <c r="A31" s="266"/>
      <c r="B31" s="240" t="e">
        <f>IF(#REF!&gt;0,#REF!,"")</f>
        <v>#REF!</v>
      </c>
      <c r="C31" s="153"/>
      <c r="D31" s="49" t="e">
        <f>IF(#REF!&gt;0,#REF!,"")</f>
        <v>#REF!</v>
      </c>
      <c r="E31" s="124"/>
      <c r="F31" s="113"/>
      <c r="G31" s="125" t="e">
        <f>#REF!</f>
        <v>#REF!</v>
      </c>
      <c r="H31" s="65" t="e">
        <f>IF(G31&gt;0,#REF!,"")</f>
        <v>#REF!</v>
      </c>
      <c r="I31" s="49" t="e">
        <f t="shared" ca="1" si="0"/>
        <v>#REF!</v>
      </c>
      <c r="J31" s="49" t="e">
        <f t="shared" ca="1" si="1"/>
        <v>#REF!</v>
      </c>
      <c r="K31" s="240" t="e">
        <f t="shared" si="2"/>
        <v>#REF!</v>
      </c>
      <c r="L31" s="153"/>
      <c r="M31" s="240"/>
      <c r="N31" s="152"/>
      <c r="O31" s="243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hidden="1" customHeight="1">
      <c r="A32" s="261"/>
      <c r="B32" s="240" t="e">
        <f>IF(#REF!&gt;0,#REF!,"")</f>
        <v>#REF!</v>
      </c>
      <c r="C32" s="153"/>
      <c r="D32" s="49" t="e">
        <f>IF(#REF!&gt;0,#REF!,"")</f>
        <v>#REF!</v>
      </c>
      <c r="E32" s="124"/>
      <c r="F32" s="113"/>
      <c r="G32" s="125" t="e">
        <f>#REF!</f>
        <v>#REF!</v>
      </c>
      <c r="H32" s="65" t="e">
        <f>IF(G32&gt;0,#REF!,"")</f>
        <v>#REF!</v>
      </c>
      <c r="I32" s="49" t="e">
        <f t="shared" ca="1" si="0"/>
        <v>#REF!</v>
      </c>
      <c r="J32" s="49" t="e">
        <f t="shared" ca="1" si="1"/>
        <v>#REF!</v>
      </c>
      <c r="K32" s="240" t="e">
        <f t="shared" si="2"/>
        <v>#REF!</v>
      </c>
      <c r="L32" s="153"/>
      <c r="M32" s="240"/>
      <c r="N32" s="152"/>
      <c r="O32" s="243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267" t="s">
        <v>120</v>
      </c>
      <c r="B33" s="240" t="e">
        <f>IF(#REF!&gt;0,#REF!,"")</f>
        <v>#REF!</v>
      </c>
      <c r="C33" s="153"/>
      <c r="D33" s="49" t="e">
        <f>IF(#REF!&gt;0,#REF!,"")</f>
        <v>#REF!</v>
      </c>
      <c r="E33" s="124"/>
      <c r="F33" s="113"/>
      <c r="G33" s="125" t="e">
        <f>#REF!</f>
        <v>#REF!</v>
      </c>
      <c r="H33" s="65" t="e">
        <f>IF(G33&gt;0,#REF!,"")</f>
        <v>#REF!</v>
      </c>
      <c r="I33" s="49" t="e">
        <f t="shared" ca="1" si="0"/>
        <v>#REF!</v>
      </c>
      <c r="J33" s="49" t="e">
        <f t="shared" ca="1" si="1"/>
        <v>#REF!</v>
      </c>
      <c r="K33" s="240" t="e">
        <f t="shared" si="2"/>
        <v>#REF!</v>
      </c>
      <c r="L33" s="153"/>
      <c r="M33" s="240"/>
      <c r="N33" s="152"/>
      <c r="O33" s="243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266"/>
      <c r="B34" s="240" t="e">
        <f>IF(#REF!&gt;0,#REF!,"")</f>
        <v>#REF!</v>
      </c>
      <c r="C34" s="153"/>
      <c r="D34" s="49" t="e">
        <f>IF(#REF!&gt;0,#REF!,"")</f>
        <v>#REF!</v>
      </c>
      <c r="E34" s="124"/>
      <c r="F34" s="113"/>
      <c r="G34" s="125" t="e">
        <f>#REF!</f>
        <v>#REF!</v>
      </c>
      <c r="H34" s="65" t="e">
        <f>IF(G34&gt;0,#REF!,"")</f>
        <v>#REF!</v>
      </c>
      <c r="I34" s="49" t="e">
        <f t="shared" ca="1" si="0"/>
        <v>#REF!</v>
      </c>
      <c r="J34" s="49" t="e">
        <f t="shared" ca="1" si="1"/>
        <v>#REF!</v>
      </c>
      <c r="K34" s="240" t="e">
        <f t="shared" si="2"/>
        <v>#REF!</v>
      </c>
      <c r="L34" s="153"/>
      <c r="M34" s="240"/>
      <c r="N34" s="152"/>
      <c r="O34" s="243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hidden="1" customHeight="1">
      <c r="A35" s="266"/>
      <c r="B35" s="240" t="e">
        <f>IF(#REF!&gt;0,#REF!,"")</f>
        <v>#REF!</v>
      </c>
      <c r="C35" s="153"/>
      <c r="D35" s="49" t="e">
        <f>IF(#REF!&gt;0,#REF!,"")</f>
        <v>#REF!</v>
      </c>
      <c r="E35" s="124"/>
      <c r="F35" s="113"/>
      <c r="G35" s="125" t="e">
        <f>#REF!</f>
        <v>#REF!</v>
      </c>
      <c r="H35" s="65" t="e">
        <f>IF(G35&gt;0,#REF!,"")</f>
        <v>#REF!</v>
      </c>
      <c r="I35" s="49" t="e">
        <f t="shared" ca="1" si="0"/>
        <v>#REF!</v>
      </c>
      <c r="J35" s="49" t="e">
        <f t="shared" ca="1" si="1"/>
        <v>#REF!</v>
      </c>
      <c r="K35" s="240" t="e">
        <f t="shared" si="2"/>
        <v>#REF!</v>
      </c>
      <c r="L35" s="153"/>
      <c r="M35" s="240"/>
      <c r="N35" s="152"/>
      <c r="O35" s="243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hidden="1" customHeight="1">
      <c r="A36" s="266"/>
      <c r="B36" s="240" t="e">
        <f>IF(#REF!&gt;0,#REF!,"")</f>
        <v>#REF!</v>
      </c>
      <c r="C36" s="153"/>
      <c r="D36" s="49" t="e">
        <f>IF(#REF!&gt;0,#REF!,"")</f>
        <v>#REF!</v>
      </c>
      <c r="E36" s="124"/>
      <c r="F36" s="113"/>
      <c r="G36" s="125" t="e">
        <f>#REF!</f>
        <v>#REF!</v>
      </c>
      <c r="H36" s="65" t="e">
        <f>IF(G36&gt;0,#REF!,"")</f>
        <v>#REF!</v>
      </c>
      <c r="I36" s="49" t="e">
        <f t="shared" ca="1" si="0"/>
        <v>#REF!</v>
      </c>
      <c r="J36" s="49" t="e">
        <f t="shared" ca="1" si="1"/>
        <v>#REF!</v>
      </c>
      <c r="K36" s="240" t="e">
        <f t="shared" si="2"/>
        <v>#REF!</v>
      </c>
      <c r="L36" s="153"/>
      <c r="M36" s="240"/>
      <c r="N36" s="152"/>
      <c r="O36" s="243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hidden="1" customHeight="1">
      <c r="A37" s="261"/>
      <c r="B37" s="240" t="e">
        <f>IF(#REF!&gt;0,#REF!,"")</f>
        <v>#REF!</v>
      </c>
      <c r="C37" s="153"/>
      <c r="D37" s="49" t="e">
        <f>IF(#REF!&gt;0,#REF!,"")</f>
        <v>#REF!</v>
      </c>
      <c r="E37" s="124"/>
      <c r="F37" s="113"/>
      <c r="G37" s="125" t="e">
        <f>#REF!</f>
        <v>#REF!</v>
      </c>
      <c r="H37" s="65" t="e">
        <f>IF(G37&gt;0,#REF!,"")</f>
        <v>#REF!</v>
      </c>
      <c r="I37" s="49" t="e">
        <f t="shared" ca="1" si="0"/>
        <v>#REF!</v>
      </c>
      <c r="J37" s="49" t="e">
        <f t="shared" ca="1" si="1"/>
        <v>#REF!</v>
      </c>
      <c r="K37" s="240" t="e">
        <f t="shared" si="2"/>
        <v>#REF!</v>
      </c>
      <c r="L37" s="153"/>
      <c r="M37" s="240"/>
      <c r="N37" s="152"/>
      <c r="O37" s="243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267" t="s">
        <v>121</v>
      </c>
      <c r="B38" s="240" t="e">
        <f>IF(#REF!&gt;0,#REF!,"")</f>
        <v>#REF!</v>
      </c>
      <c r="C38" s="153"/>
      <c r="D38" s="49" t="e">
        <f>IF(#REF!&gt;0,#REF!,"")</f>
        <v>#REF!</v>
      </c>
      <c r="E38" s="124"/>
      <c r="F38" s="124"/>
      <c r="G38" s="125" t="e">
        <f>#REF!</f>
        <v>#REF!</v>
      </c>
      <c r="H38" s="65" t="e">
        <f>IF(G38&gt;0,#REF!,"")</f>
        <v>#REF!</v>
      </c>
      <c r="I38" s="49" t="e">
        <f t="shared" ca="1" si="0"/>
        <v>#REF!</v>
      </c>
      <c r="J38" s="49" t="e">
        <f t="shared" ca="1" si="1"/>
        <v>#REF!</v>
      </c>
      <c r="K38" s="240" t="e">
        <f t="shared" si="2"/>
        <v>#REF!</v>
      </c>
      <c r="L38" s="153"/>
      <c r="M38" s="240"/>
      <c r="N38" s="152"/>
      <c r="O38" s="243"/>
      <c r="P38" s="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261"/>
      <c r="B39" s="240" t="e">
        <f>IF(#REF!&gt;0,#REF!,"")</f>
        <v>#REF!</v>
      </c>
      <c r="C39" s="153"/>
      <c r="D39" s="49" t="e">
        <f>IF(#REF!&gt;0,#REF!,"")</f>
        <v>#REF!</v>
      </c>
      <c r="E39" s="124"/>
      <c r="F39" s="124"/>
      <c r="G39" s="125" t="e">
        <f>#REF!</f>
        <v>#REF!</v>
      </c>
      <c r="H39" s="65" t="e">
        <f>IF(G39&gt;0,#REF!,"")</f>
        <v>#REF!</v>
      </c>
      <c r="I39" s="49" t="e">
        <f t="shared" ca="1" si="0"/>
        <v>#REF!</v>
      </c>
      <c r="J39" s="49" t="e">
        <f t="shared" ca="1" si="1"/>
        <v>#REF!</v>
      </c>
      <c r="K39" s="240" t="e">
        <f t="shared" si="2"/>
        <v>#REF!</v>
      </c>
      <c r="L39" s="153"/>
      <c r="M39" s="240"/>
      <c r="N39" s="152"/>
      <c r="O39" s="243"/>
      <c r="P39" s="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hidden="1" customHeight="1">
      <c r="A40" s="267" t="s">
        <v>3</v>
      </c>
      <c r="B40" s="240" t="e">
        <f>IF(#REF!&gt;0,#REF!,"")</f>
        <v>#REF!</v>
      </c>
      <c r="C40" s="153"/>
      <c r="D40" s="49" t="e">
        <f>IF(#REF!&gt;0,#REF!,"")</f>
        <v>#REF!</v>
      </c>
      <c r="E40" s="124"/>
      <c r="F40" s="113"/>
      <c r="G40" s="125" t="e">
        <f>#REF!</f>
        <v>#REF!</v>
      </c>
      <c r="H40" s="113"/>
      <c r="I40" s="49" t="e">
        <f t="shared" ca="1" si="0"/>
        <v>#REF!</v>
      </c>
      <c r="J40" s="49" t="e">
        <f t="shared" ca="1" si="1"/>
        <v>#REF!</v>
      </c>
      <c r="K40" s="240" t="e">
        <f t="shared" si="2"/>
        <v>#REF!</v>
      </c>
      <c r="L40" s="153"/>
      <c r="M40" s="240"/>
      <c r="N40" s="152"/>
      <c r="O40" s="243"/>
      <c r="P40" s="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hidden="1" customHeight="1">
      <c r="A41" s="266"/>
      <c r="B41" s="240" t="e">
        <f>IF(#REF!&gt;0,#REF!,"")</f>
        <v>#REF!</v>
      </c>
      <c r="C41" s="153"/>
      <c r="D41" s="49" t="e">
        <f>IF(#REF!&gt;0,#REF!,"")</f>
        <v>#REF!</v>
      </c>
      <c r="E41" s="124"/>
      <c r="F41" s="113"/>
      <c r="G41" s="125" t="e">
        <f>#REF!</f>
        <v>#REF!</v>
      </c>
      <c r="H41" s="113"/>
      <c r="I41" s="49" t="e">
        <f t="shared" ca="1" si="0"/>
        <v>#REF!</v>
      </c>
      <c r="J41" s="49" t="e">
        <f t="shared" ca="1" si="1"/>
        <v>#REF!</v>
      </c>
      <c r="K41" s="240" t="e">
        <f t="shared" si="2"/>
        <v>#REF!</v>
      </c>
      <c r="L41" s="153"/>
      <c r="M41" s="240"/>
      <c r="N41" s="152"/>
      <c r="O41" s="243"/>
      <c r="P41" s="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hidden="1" customHeight="1">
      <c r="A42" s="261"/>
      <c r="B42" s="240" t="e">
        <f>IF(#REF!&gt;0,#REF!,"")</f>
        <v>#REF!</v>
      </c>
      <c r="C42" s="153"/>
      <c r="D42" s="49" t="e">
        <f>IF(#REF!&gt;0,#REF!,"")</f>
        <v>#REF!</v>
      </c>
      <c r="E42" s="124"/>
      <c r="F42" s="113"/>
      <c r="G42" s="125" t="e">
        <f>#REF!</f>
        <v>#REF!</v>
      </c>
      <c r="H42" s="113"/>
      <c r="I42" s="49" t="e">
        <f t="shared" ca="1" si="0"/>
        <v>#REF!</v>
      </c>
      <c r="J42" s="49" t="e">
        <f t="shared" ca="1" si="1"/>
        <v>#REF!</v>
      </c>
      <c r="K42" s="240" t="e">
        <f t="shared" si="2"/>
        <v>#REF!</v>
      </c>
      <c r="L42" s="153"/>
      <c r="M42" s="240"/>
      <c r="N42" s="152"/>
      <c r="O42" s="243"/>
      <c r="P42" s="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267" t="s">
        <v>122</v>
      </c>
      <c r="B43" s="240" t="e">
        <f>IF(#REF!&gt;0,#REF!,"")</f>
        <v>#REF!</v>
      </c>
      <c r="C43" s="153"/>
      <c r="D43" s="49" t="e">
        <f>IF(#REF!&gt;0,#REF!,"")</f>
        <v>#REF!</v>
      </c>
      <c r="E43" s="124"/>
      <c r="F43" s="113"/>
      <c r="G43" s="125" t="e">
        <f>#REF!</f>
        <v>#REF!</v>
      </c>
      <c r="H43" s="113" t="e">
        <f>IF(G43&gt;0,#REF!,"")</f>
        <v>#REF!</v>
      </c>
      <c r="I43" s="49" t="e">
        <f t="shared" ca="1" si="0"/>
        <v>#REF!</v>
      </c>
      <c r="J43" s="49" t="e">
        <f t="shared" ca="1" si="1"/>
        <v>#REF!</v>
      </c>
      <c r="K43" s="240" t="e">
        <f t="shared" si="2"/>
        <v>#REF!</v>
      </c>
      <c r="L43" s="153"/>
      <c r="M43" s="240"/>
      <c r="N43" s="152"/>
      <c r="O43" s="243"/>
      <c r="P43" s="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266"/>
      <c r="B44" s="240" t="e">
        <f>IF(#REF!&gt;0,#REF!,"")</f>
        <v>#REF!</v>
      </c>
      <c r="C44" s="153"/>
      <c r="D44" s="49" t="e">
        <f>IF(#REF!&gt;0,#REF!,"")</f>
        <v>#REF!</v>
      </c>
      <c r="E44" s="124"/>
      <c r="F44" s="113"/>
      <c r="G44" s="125" t="e">
        <f>#REF!</f>
        <v>#REF!</v>
      </c>
      <c r="H44" s="113" t="e">
        <f>IF(G44&gt;0,#REF!,"")</f>
        <v>#REF!</v>
      </c>
      <c r="I44" s="49" t="e">
        <f t="shared" ca="1" si="0"/>
        <v>#REF!</v>
      </c>
      <c r="J44" s="49" t="e">
        <f t="shared" ca="1" si="1"/>
        <v>#REF!</v>
      </c>
      <c r="K44" s="240" t="e">
        <f t="shared" si="2"/>
        <v>#REF!</v>
      </c>
      <c r="L44" s="153"/>
      <c r="M44" s="240"/>
      <c r="N44" s="152"/>
      <c r="O44" s="243"/>
      <c r="P44" s="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hidden="1" customHeight="1">
      <c r="A45" s="266"/>
      <c r="B45" s="240" t="e">
        <f>IF(#REF!&gt;0,#REF!,"")</f>
        <v>#REF!</v>
      </c>
      <c r="C45" s="153"/>
      <c r="D45" s="49"/>
      <c r="E45" s="124"/>
      <c r="F45" s="113"/>
      <c r="G45" s="125" t="e">
        <f>#REF!</f>
        <v>#REF!</v>
      </c>
      <c r="H45" s="113" t="e">
        <f>IF(G45&gt;0,#REF!,"")</f>
        <v>#REF!</v>
      </c>
      <c r="I45" s="49" t="e">
        <f t="shared" ca="1" si="0"/>
        <v>#REF!</v>
      </c>
      <c r="J45" s="49" t="e">
        <f t="shared" ca="1" si="1"/>
        <v>#REF!</v>
      </c>
      <c r="K45" s="240" t="e">
        <f t="shared" si="2"/>
        <v>#REF!</v>
      </c>
      <c r="L45" s="153"/>
      <c r="M45" s="240"/>
      <c r="N45" s="152"/>
      <c r="O45" s="243"/>
      <c r="P45" s="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hidden="1" customHeight="1">
      <c r="A46" s="261"/>
      <c r="B46" s="240" t="e">
        <f>IF(#REF!&gt;0,#REF!,"")</f>
        <v>#REF!</v>
      </c>
      <c r="C46" s="153"/>
      <c r="D46" s="49"/>
      <c r="E46" s="124"/>
      <c r="F46" s="113"/>
      <c r="G46" s="125" t="e">
        <f>#REF!</f>
        <v>#REF!</v>
      </c>
      <c r="H46" s="113" t="e">
        <f>IF(G46&gt;0,#REF!,"")</f>
        <v>#REF!</v>
      </c>
      <c r="I46" s="49" t="e">
        <f t="shared" ca="1" si="0"/>
        <v>#REF!</v>
      </c>
      <c r="J46" s="49" t="e">
        <f t="shared" ca="1" si="1"/>
        <v>#REF!</v>
      </c>
      <c r="K46" s="240" t="e">
        <f t="shared" si="2"/>
        <v>#REF!</v>
      </c>
      <c r="L46" s="153"/>
      <c r="M46" s="240"/>
      <c r="N46" s="152"/>
      <c r="O46" s="243"/>
      <c r="P46" s="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hidden="1" customHeight="1">
      <c r="A47" s="127" t="s">
        <v>123</v>
      </c>
      <c r="B47" s="240" t="e">
        <f>IF(#REF!&gt;0,#REF!,"")</f>
        <v>#REF!</v>
      </c>
      <c r="C47" s="153"/>
      <c r="D47" s="49" t="e">
        <f>IF(#REF!&gt;0,#REF!,"")</f>
        <v>#REF!</v>
      </c>
      <c r="E47" s="124"/>
      <c r="F47" s="113"/>
      <c r="G47" s="125" t="e">
        <f>#REF!</f>
        <v>#REF!</v>
      </c>
      <c r="H47" s="118"/>
      <c r="I47" s="49" t="e">
        <f t="shared" ca="1" si="0"/>
        <v>#REF!</v>
      </c>
      <c r="J47" s="49" t="e">
        <f t="shared" ca="1" si="1"/>
        <v>#REF!</v>
      </c>
      <c r="K47" s="240" t="e">
        <f t="shared" si="2"/>
        <v>#REF!</v>
      </c>
      <c r="L47" s="153"/>
      <c r="M47" s="49"/>
      <c r="N47" s="49"/>
      <c r="O47" s="128"/>
      <c r="P47" s="3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268" t="s">
        <v>124</v>
      </c>
      <c r="B48" s="152"/>
      <c r="C48" s="152"/>
      <c r="D48" s="153"/>
      <c r="E48" s="129" t="e">
        <f>G12+G13+G14+G15+G16+G17+G18+G19+G29+G30</f>
        <v>#REF!</v>
      </c>
      <c r="F48" s="49" t="s">
        <v>125</v>
      </c>
      <c r="G48" s="130" t="e">
        <f>A7</f>
        <v>#REF!</v>
      </c>
      <c r="H48" s="129"/>
      <c r="I48" s="241" t="s">
        <v>126</v>
      </c>
      <c r="J48" s="152"/>
      <c r="K48" s="153"/>
      <c r="L48" s="131" t="e">
        <f>E8+E48</f>
        <v>#REF!</v>
      </c>
      <c r="M48" s="244"/>
      <c r="N48" s="158"/>
      <c r="O48" s="245"/>
      <c r="P48" s="13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268" t="s">
        <v>127</v>
      </c>
      <c r="B49" s="152"/>
      <c r="C49" s="152"/>
      <c r="D49" s="153"/>
      <c r="E49" s="129" t="e">
        <f>SUM(G33:G39)+G43+G44</f>
        <v>#REF!</v>
      </c>
      <c r="F49" s="49" t="s">
        <v>125</v>
      </c>
      <c r="G49" s="130" t="e">
        <f>A7</f>
        <v>#REF!</v>
      </c>
      <c r="H49" s="49" t="s">
        <v>128</v>
      </c>
      <c r="I49" s="241" t="s">
        <v>129</v>
      </c>
      <c r="J49" s="152"/>
      <c r="K49" s="153"/>
      <c r="L49" s="129" t="e">
        <f>E11+E49</f>
        <v>#REF!</v>
      </c>
      <c r="M49" s="194"/>
      <c r="N49" s="161"/>
      <c r="O49" s="246"/>
      <c r="P49" s="13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269" t="s">
        <v>130</v>
      </c>
      <c r="B50" s="154"/>
      <c r="C50" s="154"/>
      <c r="D50" s="155"/>
      <c r="E50" s="133" t="e">
        <f>G40+G41+G42</f>
        <v>#REF!</v>
      </c>
      <c r="F50" s="134" t="s">
        <v>125</v>
      </c>
      <c r="G50" s="135" t="e">
        <f>A7</f>
        <v>#REF!</v>
      </c>
      <c r="H50" s="134" t="s">
        <v>131</v>
      </c>
      <c r="I50" s="242" t="s">
        <v>132</v>
      </c>
      <c r="J50" s="154"/>
      <c r="K50" s="155"/>
      <c r="L50" s="133" t="e">
        <f>E10+E50</f>
        <v>#REF!</v>
      </c>
      <c r="M50" s="203"/>
      <c r="N50" s="162"/>
      <c r="O50" s="247"/>
      <c r="P50" s="13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28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246"/>
      <c r="P51" s="136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6.75" customHeight="1">
      <c r="A52" s="272" t="s">
        <v>133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63"/>
      <c r="P52" s="116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.75" customHeight="1">
      <c r="A53" s="273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246"/>
      <c r="P53" s="116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.75" customHeight="1">
      <c r="A54" s="255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256"/>
      <c r="P54" s="116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268" t="s">
        <v>134</v>
      </c>
      <c r="B55" s="152"/>
      <c r="C55" s="152"/>
      <c r="D55" s="152"/>
      <c r="E55" s="152"/>
      <c r="F55" s="153"/>
      <c r="G55" s="282" t="s">
        <v>135</v>
      </c>
      <c r="H55" s="159"/>
      <c r="I55" s="165" t="s">
        <v>136</v>
      </c>
      <c r="J55" s="250" t="s">
        <v>137</v>
      </c>
      <c r="K55" s="251" t="s">
        <v>136</v>
      </c>
      <c r="L55" s="250" t="s">
        <v>138</v>
      </c>
      <c r="M55" s="250" t="s">
        <v>137</v>
      </c>
      <c r="N55" s="251" t="s">
        <v>136</v>
      </c>
      <c r="O55" s="279" t="s">
        <v>138</v>
      </c>
      <c r="P55" s="1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23" t="s">
        <v>139</v>
      </c>
      <c r="B56" s="49" t="s">
        <v>140</v>
      </c>
      <c r="C56" s="240" t="s">
        <v>141</v>
      </c>
      <c r="D56" s="153"/>
      <c r="E56" s="283" t="s">
        <v>142</v>
      </c>
      <c r="F56" s="153"/>
      <c r="G56" s="168"/>
      <c r="H56" s="170"/>
      <c r="I56" s="166"/>
      <c r="J56" s="166"/>
      <c r="K56" s="166"/>
      <c r="L56" s="166"/>
      <c r="M56" s="166"/>
      <c r="N56" s="166"/>
      <c r="O56" s="280"/>
      <c r="P56" s="1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37" t="e">
        <f>#REF!-F57</f>
        <v>#REF!</v>
      </c>
      <c r="B57" s="138" t="e">
        <f>#REF!+#REF!</f>
        <v>#REF!</v>
      </c>
      <c r="C57" s="138" t="e">
        <f>#REF!</f>
        <v>#REF!</v>
      </c>
      <c r="D57" s="138" t="e">
        <f>#REF!</f>
        <v>#REF!</v>
      </c>
      <c r="E57" s="138" t="e">
        <f>#REF!</f>
        <v>#REF!</v>
      </c>
      <c r="F57" s="138" t="e">
        <f>#REF!</f>
        <v>#REF!</v>
      </c>
      <c r="G57" s="240" t="e">
        <f>IF(#REF!&gt;0,#REF!,"")</f>
        <v>#REF!</v>
      </c>
      <c r="H57" s="153"/>
      <c r="I57" s="49" t="e">
        <f>IF(G57&gt;0,#REF!,"")</f>
        <v>#REF!</v>
      </c>
      <c r="J57" s="49" t="e">
        <f>IF(#REF!&gt;0,#REF!,"")</f>
        <v>#REF!</v>
      </c>
      <c r="K57" s="49" t="e">
        <f>#REF!</f>
        <v>#REF!</v>
      </c>
      <c r="L57" s="49" t="e">
        <f>#REF!</f>
        <v>#REF!</v>
      </c>
      <c r="M57" s="49"/>
      <c r="N57" s="49"/>
      <c r="O57" s="128"/>
      <c r="P57" s="13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40"/>
      <c r="B58" s="124"/>
      <c r="C58" s="124"/>
      <c r="D58" s="124"/>
      <c r="E58" s="124"/>
      <c r="F58" s="124"/>
      <c r="G58" s="240" t="e">
        <f>IF(#REF!&gt;0,#REF!,"")</f>
        <v>#REF!</v>
      </c>
      <c r="H58" s="153"/>
      <c r="I58" s="49" t="e">
        <f>IF(G58&gt;0,#REF!,"")</f>
        <v>#REF!</v>
      </c>
      <c r="J58" s="49" t="e">
        <f>IF(#REF!&gt;0,#REF!,"")</f>
        <v>#REF!</v>
      </c>
      <c r="K58" s="49"/>
      <c r="L58" s="49"/>
      <c r="M58" s="49"/>
      <c r="N58" s="49"/>
      <c r="O58" s="128"/>
      <c r="P58" s="13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268"/>
      <c r="B59" s="152"/>
      <c r="C59" s="152"/>
      <c r="D59" s="152"/>
      <c r="E59" s="152"/>
      <c r="F59" s="153"/>
      <c r="G59" s="240"/>
      <c r="H59" s="153"/>
      <c r="I59" s="124"/>
      <c r="J59" s="49"/>
      <c r="K59" s="49"/>
      <c r="L59" s="49"/>
      <c r="M59" s="49"/>
      <c r="N59" s="49"/>
      <c r="O59" s="128"/>
      <c r="P59" s="139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37"/>
      <c r="B60" s="240" t="s">
        <v>143</v>
      </c>
      <c r="C60" s="152"/>
      <c r="D60" s="152"/>
      <c r="E60" s="153"/>
      <c r="F60" s="138"/>
      <c r="G60" s="124"/>
      <c r="H60" s="124"/>
      <c r="I60" s="124"/>
      <c r="J60" s="49"/>
      <c r="K60" s="49"/>
      <c r="L60" s="49"/>
      <c r="M60" s="49"/>
      <c r="N60" s="49"/>
      <c r="O60" s="128"/>
      <c r="P60" s="139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23"/>
      <c r="B61" s="49" t="s">
        <v>144</v>
      </c>
      <c r="C61" s="49"/>
      <c r="D61" s="49" t="s">
        <v>145</v>
      </c>
      <c r="E61" s="49"/>
      <c r="F61" s="49"/>
      <c r="G61" s="124"/>
      <c r="H61" s="124"/>
      <c r="I61" s="124"/>
      <c r="J61" s="49"/>
      <c r="K61" s="49"/>
      <c r="L61" s="49"/>
      <c r="M61" s="49"/>
      <c r="N61" s="49"/>
      <c r="O61" s="128"/>
      <c r="P61" s="13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41"/>
      <c r="B62" s="142" t="e">
        <f>#REF!</f>
        <v>#REF!</v>
      </c>
      <c r="C62" s="142" t="e">
        <f>#REF!</f>
        <v>#REF!</v>
      </c>
      <c r="D62" s="142" t="e">
        <f>#REF!+#REF!</f>
        <v>#REF!</v>
      </c>
      <c r="E62" s="142" t="e">
        <f>#REF!</f>
        <v>#REF!</v>
      </c>
      <c r="F62" s="134"/>
      <c r="G62" s="143"/>
      <c r="H62" s="143"/>
      <c r="I62" s="143"/>
      <c r="J62" s="134"/>
      <c r="K62" s="134"/>
      <c r="L62" s="134"/>
      <c r="M62" s="134"/>
      <c r="N62" s="134"/>
      <c r="O62" s="144"/>
      <c r="P62" s="13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27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246"/>
      <c r="P63" s="8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.75" customHeight="1">
      <c r="A64" s="272" t="s">
        <v>146</v>
      </c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207"/>
      <c r="O64" s="263"/>
      <c r="P64" s="116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.75" customHeight="1">
      <c r="A65" s="273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246"/>
      <c r="P65" s="116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.75" customHeight="1">
      <c r="A66" s="255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256"/>
      <c r="P66" s="116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274" t="s">
        <v>147</v>
      </c>
      <c r="B67" s="152"/>
      <c r="C67" s="153"/>
      <c r="D67" s="270" t="s">
        <v>148</v>
      </c>
      <c r="E67" s="153"/>
      <c r="F67" s="270" t="s">
        <v>149</v>
      </c>
      <c r="G67" s="153"/>
      <c r="H67" s="174" t="s">
        <v>150</v>
      </c>
      <c r="I67" s="153"/>
      <c r="J67" s="174" t="s">
        <v>151</v>
      </c>
      <c r="K67" s="153"/>
      <c r="L67" s="270" t="s">
        <v>152</v>
      </c>
      <c r="M67" s="153"/>
      <c r="N67" s="270" t="s">
        <v>153</v>
      </c>
      <c r="O67" s="243"/>
      <c r="P67" s="14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268" t="s">
        <v>154</v>
      </c>
      <c r="B68" s="152"/>
      <c r="C68" s="153"/>
      <c r="D68" s="275" t="e">
        <f>#REF!-D72</f>
        <v>#REF!</v>
      </c>
      <c r="E68" s="153"/>
      <c r="F68" s="240" t="e">
        <f>IF(D68&gt;0,#REF!,"")</f>
        <v>#REF!</v>
      </c>
      <c r="G68" s="153"/>
      <c r="H68" s="276"/>
      <c r="I68" s="153"/>
      <c r="J68" s="277" t="e">
        <f t="shared" ref="J68:J71" si="5">D68-H68</f>
        <v>#REF!</v>
      </c>
      <c r="K68" s="153"/>
      <c r="L68" s="276" t="e">
        <f t="shared" ref="L68:L69" si="6">F68</f>
        <v>#REF!</v>
      </c>
      <c r="M68" s="153"/>
      <c r="N68" s="270"/>
      <c r="O68" s="243"/>
      <c r="P68" s="14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268" t="s">
        <v>155</v>
      </c>
      <c r="B69" s="152"/>
      <c r="C69" s="153"/>
      <c r="D69" s="275" t="e">
        <f>#REF!+#REF!+#REF!</f>
        <v>#REF!</v>
      </c>
      <c r="E69" s="153"/>
      <c r="F69" s="240" t="e">
        <f>IF(D69&gt;0,#REF!,"")</f>
        <v>#REF!</v>
      </c>
      <c r="G69" s="153"/>
      <c r="H69" s="276"/>
      <c r="I69" s="153"/>
      <c r="J69" s="277" t="e">
        <f t="shared" si="5"/>
        <v>#REF!</v>
      </c>
      <c r="K69" s="153"/>
      <c r="L69" s="276" t="e">
        <f t="shared" si="6"/>
        <v>#REF!</v>
      </c>
      <c r="M69" s="153"/>
      <c r="N69" s="270"/>
      <c r="O69" s="243"/>
      <c r="P69" s="14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268" t="s">
        <v>156</v>
      </c>
      <c r="B70" s="152"/>
      <c r="C70" s="153"/>
      <c r="D70" s="275" t="e">
        <f>#REF!</f>
        <v>#REF!</v>
      </c>
      <c r="E70" s="153"/>
      <c r="F70" s="240" t="e">
        <f>IF(D70&gt;0,#REF!,"")</f>
        <v>#REF!</v>
      </c>
      <c r="G70" s="153"/>
      <c r="H70" s="276"/>
      <c r="I70" s="153"/>
      <c r="J70" s="277" t="e">
        <f t="shared" si="5"/>
        <v>#REF!</v>
      </c>
      <c r="K70" s="153"/>
      <c r="L70" s="276"/>
      <c r="M70" s="153"/>
      <c r="N70" s="270"/>
      <c r="O70" s="243"/>
      <c r="P70" s="14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268" t="s">
        <v>157</v>
      </c>
      <c r="B71" s="152"/>
      <c r="C71" s="153"/>
      <c r="D71" s="275" t="e">
        <f>#REF!</f>
        <v>#REF!</v>
      </c>
      <c r="E71" s="153"/>
      <c r="F71" s="276" t="e">
        <f>IF(D71&gt;0,$A$7+4,"")</f>
        <v>#REF!</v>
      </c>
      <c r="G71" s="153"/>
      <c r="H71" s="278"/>
      <c r="I71" s="153"/>
      <c r="J71" s="277" t="e">
        <f t="shared" si="5"/>
        <v>#REF!</v>
      </c>
      <c r="K71" s="153"/>
      <c r="L71" s="276" t="e">
        <f>F71</f>
        <v>#REF!</v>
      </c>
      <c r="M71" s="153"/>
      <c r="N71" s="270"/>
      <c r="O71" s="243"/>
      <c r="P71" s="14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284" t="s">
        <v>158</v>
      </c>
      <c r="B72" s="285"/>
      <c r="C72" s="286"/>
      <c r="D72" s="287" t="e">
        <f>#REF!</f>
        <v>#REF!</v>
      </c>
      <c r="E72" s="286"/>
      <c r="F72" s="288" t="e">
        <f>IF(D72&gt;0,#REF!,"")</f>
        <v>#REF!</v>
      </c>
      <c r="G72" s="286"/>
      <c r="H72" s="289"/>
      <c r="I72" s="286"/>
      <c r="J72" s="290"/>
      <c r="K72" s="286"/>
      <c r="L72" s="291"/>
      <c r="M72" s="286"/>
      <c r="N72" s="292"/>
      <c r="O72" s="293"/>
      <c r="P72" s="14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203">
    <mergeCell ref="J72:K72"/>
    <mergeCell ref="L72:M72"/>
    <mergeCell ref="N72:O72"/>
    <mergeCell ref="G57:H57"/>
    <mergeCell ref="G58:H58"/>
    <mergeCell ref="A59:F59"/>
    <mergeCell ref="G59:H59"/>
    <mergeCell ref="B60:E60"/>
    <mergeCell ref="A72:C72"/>
    <mergeCell ref="D72:E72"/>
    <mergeCell ref="F72:G72"/>
    <mergeCell ref="H72:I72"/>
    <mergeCell ref="J55:J56"/>
    <mergeCell ref="K55:K56"/>
    <mergeCell ref="L55:L56"/>
    <mergeCell ref="M55:M56"/>
    <mergeCell ref="N55:N56"/>
    <mergeCell ref="O55:O56"/>
    <mergeCell ref="B36:C36"/>
    <mergeCell ref="B37:C37"/>
    <mergeCell ref="A51:O51"/>
    <mergeCell ref="A52:O54"/>
    <mergeCell ref="A55:F55"/>
    <mergeCell ref="G55:H56"/>
    <mergeCell ref="I55:I56"/>
    <mergeCell ref="C56:D56"/>
    <mergeCell ref="E56:F56"/>
    <mergeCell ref="A70:C70"/>
    <mergeCell ref="D70:E70"/>
    <mergeCell ref="F70:G70"/>
    <mergeCell ref="H70:I70"/>
    <mergeCell ref="J70:K70"/>
    <mergeCell ref="L70:M70"/>
    <mergeCell ref="N70:O70"/>
    <mergeCell ref="A71:C71"/>
    <mergeCell ref="D71:E71"/>
    <mergeCell ref="F71:G71"/>
    <mergeCell ref="H71:I71"/>
    <mergeCell ref="J71:K71"/>
    <mergeCell ref="L71:M71"/>
    <mergeCell ref="N71:O71"/>
    <mergeCell ref="A68:C68"/>
    <mergeCell ref="D68:E68"/>
    <mergeCell ref="F68:G68"/>
    <mergeCell ref="H68:I68"/>
    <mergeCell ref="J68:K68"/>
    <mergeCell ref="L68:M68"/>
    <mergeCell ref="N68:O68"/>
    <mergeCell ref="A69:C69"/>
    <mergeCell ref="D69:E69"/>
    <mergeCell ref="F69:G69"/>
    <mergeCell ref="H69:I69"/>
    <mergeCell ref="J69:K69"/>
    <mergeCell ref="L69:M69"/>
    <mergeCell ref="N69:O69"/>
    <mergeCell ref="L67:M67"/>
    <mergeCell ref="N67:O67"/>
    <mergeCell ref="A63:O63"/>
    <mergeCell ref="A64:O66"/>
    <mergeCell ref="A67:C67"/>
    <mergeCell ref="D67:E67"/>
    <mergeCell ref="F67:G67"/>
    <mergeCell ref="H67:I67"/>
    <mergeCell ref="J67:K67"/>
    <mergeCell ref="B47:C47"/>
    <mergeCell ref="A48:D48"/>
    <mergeCell ref="A49:D49"/>
    <mergeCell ref="A50:D50"/>
    <mergeCell ref="B26:C26"/>
    <mergeCell ref="B27:C27"/>
    <mergeCell ref="B38:C38"/>
    <mergeCell ref="B39:C39"/>
    <mergeCell ref="B40:C40"/>
    <mergeCell ref="B41:C41"/>
    <mergeCell ref="B42:C42"/>
    <mergeCell ref="B29:C29"/>
    <mergeCell ref="B30:C30"/>
    <mergeCell ref="B31:C31"/>
    <mergeCell ref="B32:C32"/>
    <mergeCell ref="B33:C33"/>
    <mergeCell ref="B34:C34"/>
    <mergeCell ref="B35:C35"/>
    <mergeCell ref="B25:C25"/>
    <mergeCell ref="A12:A28"/>
    <mergeCell ref="A29:A32"/>
    <mergeCell ref="A33:A37"/>
    <mergeCell ref="A38:A39"/>
    <mergeCell ref="A40:A42"/>
    <mergeCell ref="A43:A46"/>
    <mergeCell ref="B8:D8"/>
    <mergeCell ref="B9:D9"/>
    <mergeCell ref="B10:D10"/>
    <mergeCell ref="B11:D11"/>
    <mergeCell ref="B12:C12"/>
    <mergeCell ref="B13:C13"/>
    <mergeCell ref="B28:C28"/>
    <mergeCell ref="B43:C43"/>
    <mergeCell ref="B44:C44"/>
    <mergeCell ref="B45:C45"/>
    <mergeCell ref="B46:C46"/>
    <mergeCell ref="M18:O18"/>
    <mergeCell ref="M19:O19"/>
    <mergeCell ref="M20:O20"/>
    <mergeCell ref="M21:O21"/>
    <mergeCell ref="M22:O22"/>
    <mergeCell ref="M23:O23"/>
    <mergeCell ref="M24:O24"/>
    <mergeCell ref="B18:C18"/>
    <mergeCell ref="B19:C19"/>
    <mergeCell ref="B20:C20"/>
    <mergeCell ref="B21:C21"/>
    <mergeCell ref="B22:C22"/>
    <mergeCell ref="B23:C23"/>
    <mergeCell ref="B24:C24"/>
    <mergeCell ref="K12:L12"/>
    <mergeCell ref="M12:O12"/>
    <mergeCell ref="K13:L13"/>
    <mergeCell ref="M13:O13"/>
    <mergeCell ref="B14:C14"/>
    <mergeCell ref="B15:C15"/>
    <mergeCell ref="B16:C16"/>
    <mergeCell ref="B17:C17"/>
    <mergeCell ref="K14:L14"/>
    <mergeCell ref="M14:O14"/>
    <mergeCell ref="K15:L15"/>
    <mergeCell ref="M15:O15"/>
    <mergeCell ref="K16:L16"/>
    <mergeCell ref="M16:O16"/>
    <mergeCell ref="M17:O17"/>
    <mergeCell ref="G5:H7"/>
    <mergeCell ref="I5:J7"/>
    <mergeCell ref="I8:I11"/>
    <mergeCell ref="J8:J11"/>
    <mergeCell ref="F10:F11"/>
    <mergeCell ref="G10:G11"/>
    <mergeCell ref="H10:H11"/>
    <mergeCell ref="A1:O2"/>
    <mergeCell ref="A3:O3"/>
    <mergeCell ref="A4:O4"/>
    <mergeCell ref="A5:A6"/>
    <mergeCell ref="B5:C7"/>
    <mergeCell ref="D5:D7"/>
    <mergeCell ref="E5:E7"/>
    <mergeCell ref="K5:L7"/>
    <mergeCell ref="M5:O7"/>
    <mergeCell ref="K8:O11"/>
    <mergeCell ref="M34:O34"/>
    <mergeCell ref="M35:O35"/>
    <mergeCell ref="M36:O36"/>
    <mergeCell ref="M37:O37"/>
    <mergeCell ref="M38:O38"/>
    <mergeCell ref="M46:O46"/>
    <mergeCell ref="M48:O50"/>
    <mergeCell ref="M39:O39"/>
    <mergeCell ref="M40:O40"/>
    <mergeCell ref="M41:O41"/>
    <mergeCell ref="M42:O42"/>
    <mergeCell ref="M43:O43"/>
    <mergeCell ref="M44:O44"/>
    <mergeCell ref="M45:O45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K35:L35"/>
    <mergeCell ref="K36:L36"/>
    <mergeCell ref="K37:L37"/>
    <mergeCell ref="K45:L45"/>
    <mergeCell ref="K46:L46"/>
    <mergeCell ref="K47:L47"/>
    <mergeCell ref="I48:K48"/>
    <mergeCell ref="I49:K49"/>
    <mergeCell ref="I50:K50"/>
    <mergeCell ref="K38:L38"/>
    <mergeCell ref="K39:L39"/>
    <mergeCell ref="K40:L40"/>
    <mergeCell ref="K41:L41"/>
    <mergeCell ref="K42:L42"/>
    <mergeCell ref="K43:L43"/>
    <mergeCell ref="K44:L44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</mergeCell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W97"/>
  <sheetViews>
    <sheetView workbookViewId="0">
      <selection sqref="A1:C3"/>
    </sheetView>
  </sheetViews>
  <sheetFormatPr defaultColWidth="14.42578125" defaultRowHeight="15" customHeight="1"/>
  <cols>
    <col min="1" max="23" width="5.140625" customWidth="1"/>
  </cols>
  <sheetData>
    <row r="1" spans="1:23" ht="13.5" customHeight="1">
      <c r="A1" s="317" t="s">
        <v>159</v>
      </c>
      <c r="B1" s="253"/>
      <c r="C1" s="254"/>
      <c r="D1" s="307" t="s">
        <v>160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4"/>
      <c r="U1" s="312" t="s">
        <v>161</v>
      </c>
      <c r="V1" s="253"/>
      <c r="W1" s="254"/>
    </row>
    <row r="2" spans="1:23" ht="13.5" customHeight="1">
      <c r="A2" s="273"/>
      <c r="B2" s="161"/>
      <c r="C2" s="246"/>
      <c r="D2" s="273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246"/>
      <c r="U2" s="273"/>
      <c r="V2" s="161"/>
      <c r="W2" s="246"/>
    </row>
    <row r="3" spans="1:23" ht="13.5" customHeight="1">
      <c r="A3" s="294"/>
      <c r="B3" s="295"/>
      <c r="C3" s="296"/>
      <c r="D3" s="294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6"/>
      <c r="U3" s="294"/>
      <c r="V3" s="295"/>
      <c r="W3" s="296"/>
    </row>
    <row r="4" spans="1:23" ht="13.5" customHeight="1"/>
    <row r="5" spans="1:23" ht="13.5" customHeight="1">
      <c r="A5" s="146" t="s">
        <v>5</v>
      </c>
      <c r="B5" s="146"/>
      <c r="C5" s="313" t="e">
        <f>#REF!</f>
        <v>#REF!</v>
      </c>
      <c r="D5" s="161"/>
      <c r="E5" s="161"/>
      <c r="F5" s="161"/>
      <c r="G5" s="161"/>
      <c r="H5" s="161"/>
      <c r="J5" s="146" t="s">
        <v>162</v>
      </c>
      <c r="L5" s="214">
        <v>15762</v>
      </c>
      <c r="M5" s="161"/>
      <c r="O5" s="314" t="s">
        <v>8</v>
      </c>
      <c r="P5" s="161"/>
      <c r="Q5" s="315" t="e">
        <f>'MBC1'!C3</f>
        <v>#REF!</v>
      </c>
      <c r="R5" s="161"/>
      <c r="S5" s="310" t="s">
        <v>1</v>
      </c>
      <c r="T5" s="147" t="s">
        <v>9</v>
      </c>
      <c r="U5" s="311" t="e">
        <f>'MBC1'!H3</f>
        <v>#REF!</v>
      </c>
      <c r="V5" s="161"/>
    </row>
    <row r="6" spans="1:23" ht="13.5" customHeight="1">
      <c r="C6" s="295"/>
      <c r="D6" s="295"/>
      <c r="E6" s="295"/>
      <c r="F6" s="295"/>
      <c r="G6" s="295"/>
      <c r="H6" s="295"/>
      <c r="L6" s="161"/>
      <c r="M6" s="161"/>
      <c r="Q6" s="161"/>
      <c r="R6" s="161"/>
      <c r="S6" s="161"/>
      <c r="U6" s="161"/>
      <c r="V6" s="161"/>
    </row>
    <row r="7" spans="1:23" ht="13.5" customHeight="1">
      <c r="A7" s="148" t="s">
        <v>163</v>
      </c>
    </row>
    <row r="8" spans="1:23" ht="13.5" customHeight="1">
      <c r="A8" s="148"/>
    </row>
    <row r="9" spans="1:23" ht="13.5" customHeight="1">
      <c r="A9" s="316" t="s">
        <v>164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</row>
    <row r="10" spans="1:23" ht="13.5" customHeight="1">
      <c r="A10" s="149"/>
    </row>
    <row r="11" spans="1:23" ht="13.5" customHeight="1">
      <c r="A11" s="300" t="s">
        <v>165</v>
      </c>
      <c r="B11" s="253"/>
      <c r="C11" s="253"/>
      <c r="D11" s="254"/>
      <c r="E11" s="300" t="s">
        <v>166</v>
      </c>
      <c r="F11" s="253"/>
      <c r="G11" s="253"/>
      <c r="H11" s="254"/>
      <c r="I11" s="300" t="s">
        <v>167</v>
      </c>
      <c r="J11" s="253"/>
      <c r="K11" s="253"/>
      <c r="L11" s="254"/>
      <c r="M11" s="300" t="s">
        <v>168</v>
      </c>
      <c r="N11" s="253"/>
      <c r="O11" s="253"/>
      <c r="P11" s="253"/>
      <c r="Q11" s="253"/>
      <c r="R11" s="254"/>
      <c r="S11" s="300" t="s">
        <v>169</v>
      </c>
      <c r="T11" s="253"/>
      <c r="U11" s="253"/>
      <c r="V11" s="253"/>
      <c r="W11" s="254"/>
    </row>
    <row r="12" spans="1:23" ht="13.5" customHeight="1">
      <c r="A12" s="294"/>
      <c r="B12" s="295"/>
      <c r="C12" s="295"/>
      <c r="D12" s="296"/>
      <c r="E12" s="294"/>
      <c r="F12" s="295"/>
      <c r="G12" s="295"/>
      <c r="H12" s="296"/>
      <c r="I12" s="294"/>
      <c r="J12" s="295"/>
      <c r="K12" s="295"/>
      <c r="L12" s="296"/>
      <c r="M12" s="294"/>
      <c r="N12" s="295"/>
      <c r="O12" s="295"/>
      <c r="P12" s="295"/>
      <c r="Q12" s="295"/>
      <c r="R12" s="296"/>
      <c r="S12" s="294"/>
      <c r="T12" s="295"/>
      <c r="U12" s="295"/>
      <c r="V12" s="295"/>
      <c r="W12" s="296"/>
    </row>
    <row r="13" spans="1:23" ht="13.5" customHeight="1">
      <c r="A13" s="300"/>
      <c r="B13" s="253"/>
      <c r="C13" s="253"/>
      <c r="D13" s="254"/>
      <c r="E13" s="300"/>
      <c r="F13" s="253"/>
      <c r="G13" s="253"/>
      <c r="H13" s="254"/>
      <c r="I13" s="300"/>
      <c r="J13" s="253"/>
      <c r="K13" s="253"/>
      <c r="L13" s="254"/>
      <c r="M13" s="300"/>
      <c r="N13" s="253"/>
      <c r="O13" s="253"/>
      <c r="P13" s="253"/>
      <c r="Q13" s="253"/>
      <c r="R13" s="254"/>
      <c r="S13" s="300"/>
      <c r="T13" s="253"/>
      <c r="U13" s="253"/>
      <c r="V13" s="253"/>
      <c r="W13" s="254"/>
    </row>
    <row r="14" spans="1:23" ht="13.5" customHeight="1">
      <c r="A14" s="294"/>
      <c r="B14" s="295"/>
      <c r="C14" s="295"/>
      <c r="D14" s="296"/>
      <c r="E14" s="294"/>
      <c r="F14" s="295"/>
      <c r="G14" s="295"/>
      <c r="H14" s="296"/>
      <c r="I14" s="294"/>
      <c r="J14" s="295"/>
      <c r="K14" s="295"/>
      <c r="L14" s="296"/>
      <c r="M14" s="294"/>
      <c r="N14" s="295"/>
      <c r="O14" s="295"/>
      <c r="P14" s="295"/>
      <c r="Q14" s="295"/>
      <c r="R14" s="296"/>
      <c r="S14" s="294"/>
      <c r="T14" s="295"/>
      <c r="U14" s="295"/>
      <c r="V14" s="295"/>
      <c r="W14" s="296"/>
    </row>
    <row r="15" spans="1:23" ht="13.5" customHeight="1">
      <c r="A15" s="300"/>
      <c r="B15" s="253"/>
      <c r="C15" s="253"/>
      <c r="D15" s="254"/>
      <c r="E15" s="300"/>
      <c r="F15" s="253"/>
      <c r="G15" s="253"/>
      <c r="H15" s="254"/>
      <c r="I15" s="300"/>
      <c r="J15" s="253"/>
      <c r="K15" s="253"/>
      <c r="L15" s="254"/>
      <c r="M15" s="300"/>
      <c r="N15" s="253"/>
      <c r="O15" s="253"/>
      <c r="P15" s="253"/>
      <c r="Q15" s="253"/>
      <c r="R15" s="254"/>
      <c r="S15" s="300"/>
      <c r="T15" s="253"/>
      <c r="U15" s="253"/>
      <c r="V15" s="253"/>
      <c r="W15" s="254"/>
    </row>
    <row r="16" spans="1:23" ht="13.5" customHeight="1">
      <c r="A16" s="294"/>
      <c r="B16" s="295"/>
      <c r="C16" s="295"/>
      <c r="D16" s="296"/>
      <c r="E16" s="294"/>
      <c r="F16" s="295"/>
      <c r="G16" s="295"/>
      <c r="H16" s="296"/>
      <c r="I16" s="294"/>
      <c r="J16" s="295"/>
      <c r="K16" s="295"/>
      <c r="L16" s="296"/>
      <c r="M16" s="294"/>
      <c r="N16" s="295"/>
      <c r="O16" s="295"/>
      <c r="P16" s="295"/>
      <c r="Q16" s="295"/>
      <c r="R16" s="296"/>
      <c r="S16" s="294"/>
      <c r="T16" s="295"/>
      <c r="U16" s="295"/>
      <c r="V16" s="295"/>
      <c r="W16" s="296"/>
    </row>
    <row r="17" spans="1:23" ht="13.5" customHeight="1">
      <c r="A17" s="300"/>
      <c r="B17" s="253"/>
      <c r="C17" s="253"/>
      <c r="D17" s="254"/>
      <c r="E17" s="300"/>
      <c r="F17" s="253"/>
      <c r="G17" s="253"/>
      <c r="H17" s="254"/>
      <c r="I17" s="300"/>
      <c r="J17" s="253"/>
      <c r="K17" s="253"/>
      <c r="L17" s="254"/>
      <c r="M17" s="300"/>
      <c r="N17" s="253"/>
      <c r="O17" s="253"/>
      <c r="P17" s="253"/>
      <c r="Q17" s="253"/>
      <c r="R17" s="254"/>
      <c r="S17" s="300"/>
      <c r="T17" s="253"/>
      <c r="U17" s="253"/>
      <c r="V17" s="253"/>
      <c r="W17" s="254"/>
    </row>
    <row r="18" spans="1:23" ht="13.5" customHeight="1">
      <c r="A18" s="294"/>
      <c r="B18" s="295"/>
      <c r="C18" s="295"/>
      <c r="D18" s="296"/>
      <c r="E18" s="294"/>
      <c r="F18" s="295"/>
      <c r="G18" s="295"/>
      <c r="H18" s="296"/>
      <c r="I18" s="294"/>
      <c r="J18" s="295"/>
      <c r="K18" s="295"/>
      <c r="L18" s="296"/>
      <c r="M18" s="294"/>
      <c r="N18" s="295"/>
      <c r="O18" s="295"/>
      <c r="P18" s="295"/>
      <c r="Q18" s="295"/>
      <c r="R18" s="296"/>
      <c r="S18" s="294"/>
      <c r="T18" s="295"/>
      <c r="U18" s="295"/>
      <c r="V18" s="295"/>
      <c r="W18" s="296"/>
    </row>
    <row r="19" spans="1:23" ht="13.5" customHeight="1">
      <c r="A19" s="300"/>
      <c r="B19" s="253"/>
      <c r="C19" s="253"/>
      <c r="D19" s="254"/>
      <c r="E19" s="300"/>
      <c r="F19" s="253"/>
      <c r="G19" s="253"/>
      <c r="H19" s="254"/>
      <c r="I19" s="300"/>
      <c r="J19" s="253"/>
      <c r="K19" s="253"/>
      <c r="L19" s="254"/>
      <c r="M19" s="300"/>
      <c r="N19" s="253"/>
      <c r="O19" s="253"/>
      <c r="P19" s="253"/>
      <c r="Q19" s="253"/>
      <c r="R19" s="254"/>
      <c r="S19" s="300"/>
      <c r="T19" s="253"/>
      <c r="U19" s="253"/>
      <c r="V19" s="253"/>
      <c r="W19" s="254"/>
    </row>
    <row r="20" spans="1:23" ht="13.5" customHeight="1">
      <c r="A20" s="294"/>
      <c r="B20" s="295"/>
      <c r="C20" s="295"/>
      <c r="D20" s="296"/>
      <c r="E20" s="294"/>
      <c r="F20" s="295"/>
      <c r="G20" s="295"/>
      <c r="H20" s="296"/>
      <c r="I20" s="294"/>
      <c r="J20" s="295"/>
      <c r="K20" s="295"/>
      <c r="L20" s="296"/>
      <c r="M20" s="294"/>
      <c r="N20" s="295"/>
      <c r="O20" s="295"/>
      <c r="P20" s="295"/>
      <c r="Q20" s="295"/>
      <c r="R20" s="296"/>
      <c r="S20" s="294"/>
      <c r="T20" s="295"/>
      <c r="U20" s="295"/>
      <c r="V20" s="295"/>
      <c r="W20" s="296"/>
    </row>
    <row r="21" spans="1:23" ht="13.5" customHeight="1"/>
    <row r="22" spans="1:23" ht="13.5" customHeight="1">
      <c r="A22" s="301" t="s">
        <v>170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</row>
    <row r="23" spans="1:23" ht="13.5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</row>
    <row r="24" spans="1:23" ht="13.5" customHeight="1"/>
    <row r="25" spans="1:23" ht="13.5" customHeight="1">
      <c r="A25" s="302" t="s">
        <v>171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4"/>
      <c r="L25" s="302" t="s">
        <v>172</v>
      </c>
      <c r="M25" s="253"/>
      <c r="N25" s="253"/>
      <c r="O25" s="254"/>
      <c r="P25" s="302" t="s">
        <v>173</v>
      </c>
      <c r="Q25" s="253"/>
      <c r="R25" s="253"/>
      <c r="S25" s="254"/>
      <c r="T25" s="302" t="s">
        <v>169</v>
      </c>
      <c r="U25" s="253"/>
      <c r="V25" s="253"/>
      <c r="W25" s="254"/>
    </row>
    <row r="26" spans="1:23" ht="13.5" customHeight="1">
      <c r="A26" s="294"/>
      <c r="B26" s="295"/>
      <c r="C26" s="295"/>
      <c r="D26" s="295"/>
      <c r="E26" s="295"/>
      <c r="F26" s="295"/>
      <c r="G26" s="295"/>
      <c r="H26" s="295"/>
      <c r="I26" s="295"/>
      <c r="J26" s="295"/>
      <c r="K26" s="296"/>
      <c r="L26" s="294"/>
      <c r="M26" s="295"/>
      <c r="N26" s="295"/>
      <c r="O26" s="296"/>
      <c r="P26" s="294"/>
      <c r="Q26" s="295"/>
      <c r="R26" s="295"/>
      <c r="S26" s="296"/>
      <c r="T26" s="294"/>
      <c r="U26" s="295"/>
      <c r="V26" s="295"/>
      <c r="W26" s="296"/>
    </row>
    <row r="27" spans="1:23" ht="13.5" customHeight="1">
      <c r="A27" s="303" t="s">
        <v>174</v>
      </c>
      <c r="B27" s="253"/>
      <c r="C27" s="253"/>
      <c r="D27" s="253"/>
      <c r="E27" s="254"/>
      <c r="F27" s="304" t="e">
        <f>Q5</f>
        <v>#REF!</v>
      </c>
      <c r="G27" s="254"/>
      <c r="H27" s="304" t="s">
        <v>175</v>
      </c>
      <c r="I27" s="254"/>
      <c r="J27" s="305" t="e">
        <f>U5</f>
        <v>#REF!</v>
      </c>
      <c r="K27" s="254"/>
      <c r="L27" s="306" t="e">
        <f>#REF!</f>
        <v>#REF!</v>
      </c>
      <c r="M27" s="253"/>
      <c r="N27" s="253"/>
      <c r="O27" s="254"/>
      <c r="P27" s="307" t="s">
        <v>176</v>
      </c>
      <c r="Q27" s="253"/>
      <c r="R27" s="253"/>
      <c r="S27" s="254"/>
      <c r="T27" s="308" t="s">
        <v>177</v>
      </c>
      <c r="U27" s="253"/>
      <c r="V27" s="253"/>
      <c r="W27" s="254"/>
    </row>
    <row r="28" spans="1:23" ht="13.5" customHeight="1">
      <c r="A28" s="294"/>
      <c r="B28" s="295"/>
      <c r="C28" s="295"/>
      <c r="D28" s="295"/>
      <c r="E28" s="296"/>
      <c r="F28" s="294"/>
      <c r="G28" s="296"/>
      <c r="H28" s="294"/>
      <c r="I28" s="296"/>
      <c r="J28" s="294"/>
      <c r="K28" s="296"/>
      <c r="L28" s="294"/>
      <c r="M28" s="295"/>
      <c r="N28" s="295"/>
      <c r="O28" s="296"/>
      <c r="P28" s="294"/>
      <c r="Q28" s="295"/>
      <c r="R28" s="295"/>
      <c r="S28" s="296"/>
      <c r="T28" s="294"/>
      <c r="U28" s="295"/>
      <c r="V28" s="295"/>
      <c r="W28" s="296"/>
    </row>
    <row r="29" spans="1:23" ht="13.5" customHeight="1">
      <c r="A29" s="303" t="s">
        <v>174</v>
      </c>
      <c r="B29" s="253"/>
      <c r="C29" s="253"/>
      <c r="D29" s="253"/>
      <c r="E29" s="254"/>
      <c r="F29" s="304"/>
      <c r="G29" s="254"/>
      <c r="H29" s="304" t="s">
        <v>175</v>
      </c>
      <c r="I29" s="254"/>
      <c r="J29" s="309"/>
      <c r="K29" s="254"/>
      <c r="L29" s="309"/>
      <c r="M29" s="253"/>
      <c r="N29" s="253"/>
      <c r="O29" s="254"/>
      <c r="P29" s="309"/>
      <c r="Q29" s="253"/>
      <c r="R29" s="253"/>
      <c r="S29" s="254"/>
      <c r="T29" s="309"/>
      <c r="U29" s="253"/>
      <c r="V29" s="253"/>
      <c r="W29" s="254"/>
    </row>
    <row r="30" spans="1:23" ht="13.5" customHeight="1">
      <c r="A30" s="294"/>
      <c r="B30" s="295"/>
      <c r="C30" s="295"/>
      <c r="D30" s="295"/>
      <c r="E30" s="296"/>
      <c r="F30" s="294"/>
      <c r="G30" s="296"/>
      <c r="H30" s="294"/>
      <c r="I30" s="296"/>
      <c r="J30" s="294"/>
      <c r="K30" s="296"/>
      <c r="L30" s="294"/>
      <c r="M30" s="295"/>
      <c r="N30" s="295"/>
      <c r="O30" s="296"/>
      <c r="P30" s="294"/>
      <c r="Q30" s="295"/>
      <c r="R30" s="295"/>
      <c r="S30" s="296"/>
      <c r="T30" s="294"/>
      <c r="U30" s="295"/>
      <c r="V30" s="295"/>
      <c r="W30" s="296"/>
    </row>
    <row r="31" spans="1:23" ht="13.5" customHeight="1">
      <c r="A31" s="303" t="s">
        <v>174</v>
      </c>
      <c r="B31" s="253"/>
      <c r="C31" s="253"/>
      <c r="D31" s="253"/>
      <c r="E31" s="254"/>
      <c r="F31" s="304"/>
      <c r="G31" s="254"/>
      <c r="H31" s="304" t="s">
        <v>175</v>
      </c>
      <c r="I31" s="254"/>
      <c r="J31" s="309"/>
      <c r="K31" s="254"/>
      <c r="L31" s="309"/>
      <c r="M31" s="253"/>
      <c r="N31" s="253"/>
      <c r="O31" s="254"/>
      <c r="P31" s="309"/>
      <c r="Q31" s="253"/>
      <c r="R31" s="253"/>
      <c r="S31" s="254"/>
      <c r="T31" s="309"/>
      <c r="U31" s="253"/>
      <c r="V31" s="253"/>
      <c r="W31" s="254"/>
    </row>
    <row r="32" spans="1:23" ht="13.5" customHeight="1">
      <c r="A32" s="294"/>
      <c r="B32" s="295"/>
      <c r="C32" s="295"/>
      <c r="D32" s="295"/>
      <c r="E32" s="296"/>
      <c r="F32" s="294"/>
      <c r="G32" s="296"/>
      <c r="H32" s="294"/>
      <c r="I32" s="296"/>
      <c r="J32" s="294"/>
      <c r="K32" s="296"/>
      <c r="L32" s="294"/>
      <c r="M32" s="295"/>
      <c r="N32" s="295"/>
      <c r="O32" s="296"/>
      <c r="P32" s="294"/>
      <c r="Q32" s="295"/>
      <c r="R32" s="295"/>
      <c r="S32" s="296"/>
      <c r="T32" s="294"/>
      <c r="U32" s="295"/>
      <c r="V32" s="295"/>
      <c r="W32" s="296"/>
    </row>
    <row r="33" spans="1:23" ht="13.5" customHeight="1">
      <c r="A33" s="303" t="s">
        <v>174</v>
      </c>
      <c r="B33" s="253"/>
      <c r="C33" s="253"/>
      <c r="D33" s="253"/>
      <c r="E33" s="254"/>
      <c r="F33" s="304"/>
      <c r="G33" s="254"/>
      <c r="H33" s="304" t="s">
        <v>175</v>
      </c>
      <c r="I33" s="254"/>
      <c r="J33" s="309"/>
      <c r="K33" s="254"/>
      <c r="L33" s="309"/>
      <c r="M33" s="253"/>
      <c r="N33" s="253"/>
      <c r="O33" s="254"/>
      <c r="P33" s="309"/>
      <c r="Q33" s="253"/>
      <c r="R33" s="253"/>
      <c r="S33" s="254"/>
      <c r="T33" s="309"/>
      <c r="U33" s="253"/>
      <c r="V33" s="253"/>
      <c r="W33" s="254"/>
    </row>
    <row r="34" spans="1:23" ht="13.5" customHeight="1">
      <c r="A34" s="294"/>
      <c r="B34" s="295"/>
      <c r="C34" s="295"/>
      <c r="D34" s="295"/>
      <c r="E34" s="296"/>
      <c r="F34" s="294"/>
      <c r="G34" s="296"/>
      <c r="H34" s="294"/>
      <c r="I34" s="296"/>
      <c r="J34" s="294"/>
      <c r="K34" s="296"/>
      <c r="L34" s="294"/>
      <c r="M34" s="295"/>
      <c r="N34" s="295"/>
      <c r="O34" s="296"/>
      <c r="P34" s="294"/>
      <c r="Q34" s="295"/>
      <c r="R34" s="295"/>
      <c r="S34" s="296"/>
      <c r="T34" s="294"/>
      <c r="U34" s="295"/>
      <c r="V34" s="295"/>
      <c r="W34" s="296"/>
    </row>
    <row r="35" spans="1:23" ht="13.5" customHeight="1"/>
    <row r="36" spans="1:23" ht="13.5" customHeight="1"/>
    <row r="37" spans="1:23" ht="13.5" customHeight="1">
      <c r="A37" s="307" t="s">
        <v>178</v>
      </c>
      <c r="B37" s="253"/>
      <c r="C37" s="253"/>
      <c r="D37" s="253"/>
      <c r="E37" s="253"/>
      <c r="F37" s="253"/>
      <c r="G37" s="254"/>
      <c r="H37" s="318"/>
      <c r="I37" s="297"/>
      <c r="J37" s="318" t="s">
        <v>179</v>
      </c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7"/>
    </row>
    <row r="38" spans="1:23" ht="13.5" customHeight="1">
      <c r="A38" s="273"/>
      <c r="B38" s="161"/>
      <c r="C38" s="161"/>
      <c r="D38" s="161"/>
      <c r="E38" s="161"/>
      <c r="F38" s="161"/>
      <c r="G38" s="246"/>
      <c r="H38" s="318"/>
      <c r="I38" s="297"/>
      <c r="J38" s="318" t="s">
        <v>180</v>
      </c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7"/>
    </row>
    <row r="39" spans="1:23" ht="13.5" customHeight="1">
      <c r="A39" s="294"/>
      <c r="B39" s="295"/>
      <c r="C39" s="295"/>
      <c r="D39" s="295"/>
      <c r="E39" s="295"/>
      <c r="F39" s="295"/>
      <c r="G39" s="296"/>
      <c r="H39" s="318"/>
      <c r="I39" s="297"/>
      <c r="J39" s="318" t="s">
        <v>181</v>
      </c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7"/>
    </row>
    <row r="40" spans="1:23" ht="13.5" customHeight="1"/>
    <row r="41" spans="1:23" ht="13.5" customHeight="1">
      <c r="B41" s="325" t="s">
        <v>182</v>
      </c>
      <c r="C41" s="161"/>
      <c r="D41" s="161"/>
      <c r="E41" s="161"/>
      <c r="F41" s="161"/>
      <c r="G41" s="161"/>
      <c r="H41" s="326" t="e">
        <f>H78/4*40</f>
        <v>#REF!</v>
      </c>
      <c r="I41" s="295"/>
      <c r="J41" s="295"/>
      <c r="L41" s="324" t="s">
        <v>183</v>
      </c>
      <c r="M41" s="161"/>
      <c r="N41" s="327">
        <v>1</v>
      </c>
      <c r="O41" s="295"/>
      <c r="P41" s="295"/>
      <c r="R41" s="5" t="s">
        <v>184</v>
      </c>
    </row>
    <row r="42" spans="1:23" ht="13.5" customHeight="1"/>
    <row r="43" spans="1:23" ht="13.5" customHeight="1">
      <c r="A43" s="320" t="s">
        <v>185</v>
      </c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</row>
    <row r="44" spans="1:23" ht="13.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</row>
    <row r="45" spans="1:23" ht="13.5" customHeight="1">
      <c r="A45" s="320" t="s">
        <v>186</v>
      </c>
      <c r="B45" s="161"/>
      <c r="C45" s="161"/>
      <c r="D45" s="161"/>
      <c r="E45" s="161"/>
      <c r="F45" s="320" t="s">
        <v>187</v>
      </c>
      <c r="G45" s="161"/>
      <c r="H45" s="161"/>
      <c r="I45" s="161"/>
      <c r="J45" s="161"/>
      <c r="K45" s="320" t="e">
        <f ca="1">IF(H41&gt;0,(CONCATENATE("4,",RANDBETWEEN(5,8)," ")),"")</f>
        <v>#REF!</v>
      </c>
      <c r="L45" s="161"/>
      <c r="M45" s="320" t="s">
        <v>188</v>
      </c>
      <c r="N45" s="161"/>
      <c r="O45" s="151"/>
      <c r="P45" s="151"/>
      <c r="Q45" s="151"/>
      <c r="R45" s="320" t="s">
        <v>189</v>
      </c>
      <c r="S45" s="161"/>
      <c r="T45" s="161"/>
      <c r="U45" s="161"/>
      <c r="V45" s="161"/>
      <c r="W45" s="161"/>
    </row>
    <row r="46" spans="1:23" ht="13.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9"/>
      <c r="L46" s="169"/>
      <c r="M46" s="169"/>
      <c r="N46" s="169"/>
      <c r="O46" s="151"/>
      <c r="P46" s="151"/>
      <c r="Q46" s="151"/>
      <c r="R46" s="161"/>
      <c r="S46" s="161"/>
      <c r="T46" s="161"/>
      <c r="U46" s="161"/>
      <c r="V46" s="161"/>
      <c r="W46" s="161"/>
    </row>
    <row r="47" spans="1:23" ht="13.5" customHeight="1">
      <c r="A47" s="320" t="s">
        <v>190</v>
      </c>
      <c r="B47" s="161"/>
      <c r="C47" s="161"/>
      <c r="D47" s="161"/>
      <c r="E47" s="161"/>
      <c r="F47" s="320" t="s">
        <v>191</v>
      </c>
      <c r="G47" s="161"/>
      <c r="H47" s="161"/>
      <c r="I47" s="161"/>
      <c r="J47" s="161"/>
      <c r="K47" s="320"/>
      <c r="L47" s="161"/>
      <c r="M47" s="161"/>
      <c r="N47" s="151"/>
      <c r="O47" s="151"/>
      <c r="P47" s="151"/>
      <c r="Q47" s="151"/>
      <c r="R47" s="320" t="s">
        <v>192</v>
      </c>
      <c r="S47" s="161"/>
      <c r="T47" s="161"/>
      <c r="U47" s="161"/>
      <c r="V47" s="161"/>
      <c r="W47" s="161"/>
    </row>
    <row r="48" spans="1:23" ht="13.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295"/>
      <c r="L48" s="295"/>
      <c r="M48" s="295"/>
      <c r="N48" s="151"/>
      <c r="O48" s="151"/>
      <c r="P48" s="151"/>
      <c r="Q48" s="151"/>
      <c r="R48" s="161"/>
      <c r="S48" s="161"/>
      <c r="T48" s="161"/>
      <c r="U48" s="161"/>
      <c r="V48" s="161"/>
      <c r="W48" s="161"/>
    </row>
    <row r="49" spans="1:23" ht="13.5" customHeight="1">
      <c r="A49" s="151"/>
      <c r="B49" s="151"/>
      <c r="C49" s="151"/>
      <c r="D49" s="151"/>
      <c r="E49" s="151"/>
      <c r="F49" s="328" t="s">
        <v>193</v>
      </c>
      <c r="G49" s="161"/>
      <c r="H49" s="161"/>
      <c r="I49" s="161"/>
      <c r="J49" s="161"/>
      <c r="K49" s="320"/>
      <c r="L49" s="161"/>
      <c r="M49" s="161"/>
      <c r="N49" s="151"/>
      <c r="O49" s="151"/>
      <c r="P49" s="151"/>
      <c r="Q49" s="151"/>
      <c r="R49" s="320" t="s">
        <v>189</v>
      </c>
      <c r="S49" s="161"/>
      <c r="T49" s="161"/>
      <c r="U49" s="161"/>
      <c r="V49" s="161"/>
      <c r="W49" s="161"/>
    </row>
    <row r="50" spans="1:23" ht="13.5" customHeight="1">
      <c r="A50" s="151"/>
      <c r="B50" s="151"/>
      <c r="C50" s="151"/>
      <c r="D50" s="151"/>
      <c r="E50" s="151"/>
      <c r="F50" s="161"/>
      <c r="G50" s="161"/>
      <c r="H50" s="161"/>
      <c r="I50" s="161"/>
      <c r="J50" s="161"/>
      <c r="K50" s="295"/>
      <c r="L50" s="295"/>
      <c r="M50" s="295"/>
      <c r="N50" s="151"/>
      <c r="O50" s="151"/>
      <c r="P50" s="151"/>
      <c r="Q50" s="151"/>
      <c r="R50" s="161"/>
      <c r="S50" s="161"/>
      <c r="T50" s="161"/>
      <c r="U50" s="161"/>
      <c r="V50" s="161"/>
      <c r="W50" s="161"/>
    </row>
    <row r="51" spans="1:23" ht="13.5" customHeight="1">
      <c r="A51" s="151"/>
      <c r="B51" s="151"/>
      <c r="C51" s="151"/>
      <c r="D51" s="151"/>
      <c r="E51" s="151"/>
      <c r="F51" s="320" t="s">
        <v>194</v>
      </c>
      <c r="G51" s="161"/>
      <c r="H51" s="161"/>
      <c r="I51" s="161"/>
      <c r="J51" s="161"/>
      <c r="K51" s="320" t="e">
        <f>H41*0.3%</f>
        <v>#REF!</v>
      </c>
      <c r="L51" s="161"/>
      <c r="M51" s="161"/>
      <c r="N51" s="151"/>
      <c r="O51" s="151"/>
      <c r="P51" s="151"/>
      <c r="Q51" s="151"/>
      <c r="R51" s="320" t="s">
        <v>195</v>
      </c>
      <c r="S51" s="161"/>
      <c r="T51" s="161"/>
      <c r="U51" s="161"/>
      <c r="V51" s="161"/>
      <c r="W51" s="161"/>
    </row>
    <row r="52" spans="1:23" ht="13.5" customHeight="1">
      <c r="A52" s="151"/>
      <c r="B52" s="151"/>
      <c r="C52" s="151"/>
      <c r="D52" s="151"/>
      <c r="E52" s="151"/>
      <c r="F52" s="161"/>
      <c r="G52" s="161"/>
      <c r="H52" s="161"/>
      <c r="I52" s="161"/>
      <c r="J52" s="161"/>
      <c r="K52" s="295"/>
      <c r="L52" s="295"/>
      <c r="M52" s="295"/>
      <c r="N52" s="151"/>
      <c r="O52" s="151"/>
      <c r="P52" s="151"/>
      <c r="Q52" s="151"/>
      <c r="R52" s="161"/>
      <c r="S52" s="161"/>
      <c r="T52" s="161"/>
      <c r="U52" s="161"/>
      <c r="V52" s="161"/>
      <c r="W52" s="161"/>
    </row>
    <row r="53" spans="1:23" ht="13.5" customHeight="1">
      <c r="A53" s="320" t="s">
        <v>196</v>
      </c>
      <c r="B53" s="161"/>
      <c r="C53" s="161"/>
      <c r="D53" s="161"/>
      <c r="E53" s="161"/>
      <c r="F53" s="329" t="s">
        <v>98</v>
      </c>
      <c r="G53" s="161"/>
      <c r="H53" s="320" t="s">
        <v>197</v>
      </c>
      <c r="I53" s="161"/>
      <c r="J53" s="161"/>
      <c r="K53" s="161"/>
      <c r="L53" s="161"/>
      <c r="M53" s="161"/>
      <c r="N53" s="161"/>
      <c r="O53" s="161"/>
      <c r="P53" s="151"/>
      <c r="Q53" s="151"/>
      <c r="R53" s="151"/>
      <c r="S53" s="151"/>
      <c r="T53" s="151"/>
      <c r="U53" s="151"/>
      <c r="V53" s="151"/>
      <c r="W53" s="151"/>
    </row>
    <row r="54" spans="1:23" ht="13.5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51"/>
      <c r="Q54" s="151"/>
      <c r="R54" s="151"/>
      <c r="S54" s="151"/>
      <c r="T54" s="151"/>
      <c r="U54" s="151"/>
      <c r="V54" s="151"/>
      <c r="W54" s="151"/>
    </row>
    <row r="55" spans="1:23" ht="13.5" customHeight="1">
      <c r="A55" s="151"/>
      <c r="B55" s="151"/>
      <c r="C55" s="151"/>
      <c r="D55" s="151"/>
      <c r="E55" s="151"/>
      <c r="F55" s="320"/>
      <c r="G55" s="161"/>
      <c r="H55" s="320" t="s">
        <v>82</v>
      </c>
      <c r="I55" s="161"/>
      <c r="J55" s="161"/>
      <c r="K55" s="161"/>
      <c r="L55" s="161"/>
      <c r="M55" s="161"/>
      <c r="N55" s="161"/>
      <c r="O55" s="161"/>
      <c r="P55" s="151"/>
      <c r="Q55" s="151"/>
      <c r="R55" s="151"/>
      <c r="S55" s="151"/>
      <c r="T55" s="151"/>
      <c r="U55" s="151"/>
      <c r="V55" s="151"/>
      <c r="W55" s="151"/>
    </row>
    <row r="56" spans="1:23" ht="13.5" customHeight="1">
      <c r="A56" s="151"/>
      <c r="B56" s="151"/>
      <c r="C56" s="151"/>
      <c r="D56" s="151"/>
      <c r="E56" s="15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51"/>
      <c r="Q56" s="151"/>
      <c r="R56" s="151"/>
      <c r="S56" s="151"/>
      <c r="T56" s="151"/>
      <c r="U56" s="151"/>
      <c r="V56" s="151"/>
      <c r="W56" s="151"/>
    </row>
    <row r="57" spans="1:23" ht="13.5" customHeight="1">
      <c r="A57" s="151"/>
      <c r="B57" s="151"/>
      <c r="C57" s="151"/>
      <c r="D57" s="151"/>
      <c r="E57" s="151"/>
      <c r="F57" s="320"/>
      <c r="G57" s="161"/>
      <c r="H57" s="320" t="s">
        <v>90</v>
      </c>
      <c r="I57" s="161"/>
      <c r="J57" s="161"/>
      <c r="K57" s="161"/>
      <c r="L57" s="161"/>
      <c r="M57" s="161"/>
      <c r="N57" s="161"/>
      <c r="O57" s="161"/>
      <c r="P57" s="151"/>
      <c r="Q57" s="151"/>
      <c r="R57" s="151"/>
      <c r="S57" s="151"/>
      <c r="T57" s="151"/>
      <c r="U57" s="151"/>
      <c r="V57" s="151"/>
      <c r="W57" s="151"/>
    </row>
    <row r="58" spans="1:23" ht="13.5" customHeight="1">
      <c r="A58" s="151"/>
      <c r="B58" s="151"/>
      <c r="C58" s="151"/>
      <c r="D58" s="151"/>
      <c r="E58" s="15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51"/>
      <c r="Q58" s="151"/>
      <c r="R58" s="151"/>
      <c r="S58" s="151"/>
      <c r="T58" s="151"/>
      <c r="U58" s="151"/>
      <c r="V58" s="151"/>
      <c r="W58" s="151"/>
    </row>
    <row r="59" spans="1:23" ht="13.5" customHeight="1">
      <c r="A59" s="320" t="s">
        <v>198</v>
      </c>
      <c r="B59" s="161"/>
      <c r="C59" s="161"/>
      <c r="D59" s="161"/>
      <c r="E59" s="161"/>
      <c r="F59" s="320" t="s">
        <v>199</v>
      </c>
      <c r="G59" s="161"/>
      <c r="H59" s="161"/>
      <c r="I59" s="151"/>
      <c r="J59" s="151"/>
      <c r="K59" s="320" t="s">
        <v>200</v>
      </c>
      <c r="L59" s="161"/>
      <c r="M59" s="161"/>
      <c r="N59" s="161"/>
      <c r="O59" s="161"/>
      <c r="P59" s="151"/>
      <c r="Q59" s="151"/>
      <c r="R59" s="151"/>
      <c r="S59" s="151"/>
      <c r="T59" s="151"/>
      <c r="U59" s="151"/>
      <c r="V59" s="151"/>
      <c r="W59" s="151"/>
    </row>
    <row r="60" spans="1:23" ht="13.5" customHeight="1">
      <c r="A60" s="161"/>
      <c r="B60" s="161"/>
      <c r="C60" s="161"/>
      <c r="D60" s="161"/>
      <c r="E60" s="161"/>
      <c r="F60" s="295"/>
      <c r="G60" s="295"/>
      <c r="H60" s="295"/>
      <c r="I60" s="151"/>
      <c r="J60" s="151"/>
      <c r="K60" s="161"/>
      <c r="L60" s="161"/>
      <c r="M60" s="161"/>
      <c r="N60" s="161"/>
      <c r="O60" s="161"/>
      <c r="P60" s="151"/>
      <c r="Q60" s="151"/>
      <c r="R60" s="151"/>
      <c r="S60" s="151"/>
      <c r="T60" s="151"/>
      <c r="U60" s="151"/>
      <c r="V60" s="151"/>
      <c r="W60" s="151"/>
    </row>
    <row r="61" spans="1:23" ht="13.5" customHeight="1">
      <c r="A61" s="330" t="s">
        <v>201</v>
      </c>
      <c r="B61" s="161"/>
      <c r="C61" s="161"/>
      <c r="D61" s="161"/>
      <c r="E61" s="161"/>
      <c r="F61" s="320" t="s">
        <v>202</v>
      </c>
      <c r="G61" s="161"/>
      <c r="H61" s="161"/>
      <c r="I61" s="151"/>
      <c r="J61" s="151"/>
      <c r="K61" s="320" t="s">
        <v>203</v>
      </c>
      <c r="L61" s="161"/>
      <c r="M61" s="161"/>
      <c r="N61" s="161"/>
      <c r="O61" s="161"/>
      <c r="P61" s="151"/>
      <c r="Q61" s="151"/>
      <c r="R61" s="151"/>
      <c r="S61" s="151"/>
      <c r="T61" s="151"/>
      <c r="U61" s="151"/>
      <c r="V61" s="151"/>
      <c r="W61" s="151"/>
    </row>
    <row r="62" spans="1:23" ht="13.5" customHeight="1">
      <c r="A62" s="161"/>
      <c r="B62" s="161"/>
      <c r="C62" s="161"/>
      <c r="D62" s="161"/>
      <c r="E62" s="161"/>
      <c r="F62" s="295"/>
      <c r="G62" s="295"/>
      <c r="H62" s="295"/>
      <c r="I62" s="151"/>
      <c r="J62" s="151"/>
      <c r="K62" s="161"/>
      <c r="L62" s="161"/>
      <c r="M62" s="161"/>
      <c r="N62" s="161"/>
      <c r="O62" s="161"/>
      <c r="P62" s="151"/>
      <c r="Q62" s="151"/>
      <c r="R62" s="151"/>
      <c r="S62" s="151"/>
      <c r="T62" s="151"/>
      <c r="U62" s="151"/>
      <c r="V62" s="151"/>
      <c r="W62" s="151"/>
    </row>
    <row r="63" spans="1:23" ht="13.5" customHeight="1">
      <c r="A63" s="320" t="s">
        <v>204</v>
      </c>
      <c r="B63" s="161"/>
      <c r="C63" s="161"/>
      <c r="D63" s="161"/>
      <c r="E63" s="161"/>
      <c r="F63" s="161"/>
      <c r="G63" s="161"/>
      <c r="H63" s="151"/>
      <c r="I63" s="321"/>
      <c r="J63" s="320" t="s">
        <v>50</v>
      </c>
      <c r="K63" s="151"/>
      <c r="L63" s="319" t="s">
        <v>205</v>
      </c>
      <c r="M63" s="320" t="s">
        <v>206</v>
      </c>
      <c r="N63" s="151"/>
      <c r="O63" s="321"/>
      <c r="P63" s="320" t="s">
        <v>207</v>
      </c>
      <c r="Q63" s="161"/>
      <c r="R63" s="161"/>
      <c r="S63" s="321"/>
      <c r="T63" s="320" t="s">
        <v>208</v>
      </c>
      <c r="U63" s="161"/>
      <c r="V63" s="161"/>
      <c r="W63" s="161"/>
    </row>
    <row r="64" spans="1:23" ht="13.5" customHeight="1">
      <c r="A64" s="161"/>
      <c r="B64" s="161"/>
      <c r="C64" s="161"/>
      <c r="D64" s="161"/>
      <c r="E64" s="161"/>
      <c r="F64" s="161"/>
      <c r="G64" s="161"/>
      <c r="H64" s="151"/>
      <c r="I64" s="299"/>
      <c r="J64" s="161"/>
      <c r="K64" s="151"/>
      <c r="L64" s="299"/>
      <c r="M64" s="161"/>
      <c r="N64" s="151"/>
      <c r="O64" s="299"/>
      <c r="P64" s="161"/>
      <c r="Q64" s="161"/>
      <c r="R64" s="161"/>
      <c r="S64" s="299"/>
      <c r="T64" s="161"/>
      <c r="U64" s="161"/>
      <c r="V64" s="161"/>
      <c r="W64" s="161"/>
    </row>
    <row r="65" spans="1:23" ht="13.5" customHeight="1"/>
    <row r="66" spans="1:23" ht="13.5" customHeight="1">
      <c r="A66" s="322" t="s">
        <v>209</v>
      </c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spans="1:23" ht="13.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spans="1:23" ht="13.5" customHeight="1">
      <c r="A68" s="307" t="s">
        <v>210</v>
      </c>
      <c r="B68" s="253"/>
      <c r="C68" s="253"/>
      <c r="D68" s="253"/>
      <c r="E68" s="254"/>
      <c r="F68" s="307" t="s">
        <v>211</v>
      </c>
      <c r="G68" s="253"/>
      <c r="H68" s="254"/>
      <c r="I68" s="307" t="s">
        <v>212</v>
      </c>
      <c r="J68" s="253"/>
      <c r="K68" s="254"/>
      <c r="L68" s="307" t="s">
        <v>213</v>
      </c>
      <c r="M68" s="253"/>
      <c r="N68" s="253"/>
      <c r="O68" s="253"/>
      <c r="P68" s="253"/>
      <c r="Q68" s="254"/>
      <c r="R68" s="307" t="s">
        <v>214</v>
      </c>
      <c r="S68" s="253"/>
      <c r="T68" s="254"/>
      <c r="U68" s="307" t="s">
        <v>85</v>
      </c>
      <c r="V68" s="253"/>
      <c r="W68" s="254"/>
    </row>
    <row r="69" spans="1:23" ht="13.5" customHeight="1">
      <c r="A69" s="294"/>
      <c r="B69" s="295"/>
      <c r="C69" s="295"/>
      <c r="D69" s="295"/>
      <c r="E69" s="296"/>
      <c r="F69" s="294"/>
      <c r="G69" s="295"/>
      <c r="H69" s="296"/>
      <c r="I69" s="294"/>
      <c r="J69" s="295"/>
      <c r="K69" s="296"/>
      <c r="L69" s="294"/>
      <c r="M69" s="295"/>
      <c r="N69" s="295"/>
      <c r="O69" s="295"/>
      <c r="P69" s="295"/>
      <c r="Q69" s="296"/>
      <c r="R69" s="294"/>
      <c r="S69" s="295"/>
      <c r="T69" s="296"/>
      <c r="U69" s="294"/>
      <c r="V69" s="295"/>
      <c r="W69" s="296"/>
    </row>
    <row r="70" spans="1:23" ht="13.5" customHeight="1">
      <c r="A70" s="302" t="s">
        <v>215</v>
      </c>
      <c r="B70" s="253"/>
      <c r="C70" s="253"/>
      <c r="D70" s="253"/>
      <c r="E70" s="254"/>
      <c r="F70" s="331" t="s">
        <v>205</v>
      </c>
      <c r="G70" s="253"/>
      <c r="H70" s="254"/>
      <c r="I70" s="307"/>
      <c r="J70" s="253"/>
      <c r="K70" s="254"/>
      <c r="L70" s="307" t="s">
        <v>216</v>
      </c>
      <c r="M70" s="253"/>
      <c r="N70" s="253"/>
      <c r="O70" s="253"/>
      <c r="P70" s="253"/>
      <c r="Q70" s="254"/>
      <c r="R70" s="331" t="s">
        <v>205</v>
      </c>
      <c r="S70" s="253"/>
      <c r="T70" s="254"/>
      <c r="U70" s="307"/>
      <c r="V70" s="253"/>
      <c r="W70" s="254"/>
    </row>
    <row r="71" spans="1:23" ht="13.5" customHeight="1">
      <c r="A71" s="294"/>
      <c r="B71" s="295"/>
      <c r="C71" s="295"/>
      <c r="D71" s="295"/>
      <c r="E71" s="296"/>
      <c r="F71" s="294"/>
      <c r="G71" s="295"/>
      <c r="H71" s="296"/>
      <c r="I71" s="294"/>
      <c r="J71" s="295"/>
      <c r="K71" s="296"/>
      <c r="L71" s="294"/>
      <c r="M71" s="295"/>
      <c r="N71" s="295"/>
      <c r="O71" s="295"/>
      <c r="P71" s="295"/>
      <c r="Q71" s="296"/>
      <c r="R71" s="294"/>
      <c r="S71" s="295"/>
      <c r="T71" s="296"/>
      <c r="U71" s="294"/>
      <c r="V71" s="295"/>
      <c r="W71" s="296"/>
    </row>
    <row r="72" spans="1:23" ht="13.5" customHeight="1"/>
    <row r="73" spans="1:23" ht="13.5" customHeight="1">
      <c r="A73" s="325" t="s">
        <v>217</v>
      </c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spans="1:23" ht="13.5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spans="1:23" ht="13.5" customHeight="1"/>
    <row r="76" spans="1:23" ht="13.5" customHeight="1">
      <c r="A76" s="307" t="s">
        <v>218</v>
      </c>
      <c r="B76" s="253"/>
      <c r="C76" s="254"/>
      <c r="D76" s="307" t="s">
        <v>219</v>
      </c>
      <c r="E76" s="253"/>
      <c r="F76" s="253"/>
      <c r="G76" s="254"/>
      <c r="H76" s="307" t="s">
        <v>62</v>
      </c>
      <c r="I76" s="253"/>
      <c r="J76" s="253"/>
      <c r="K76" s="254"/>
      <c r="L76" s="307" t="s">
        <v>220</v>
      </c>
      <c r="M76" s="253"/>
      <c r="N76" s="253"/>
      <c r="O76" s="254"/>
      <c r="P76" s="307" t="s">
        <v>221</v>
      </c>
      <c r="Q76" s="253"/>
      <c r="R76" s="253"/>
      <c r="S76" s="254"/>
      <c r="T76" s="307" t="s">
        <v>64</v>
      </c>
      <c r="U76" s="253"/>
      <c r="V76" s="253"/>
      <c r="W76" s="254"/>
    </row>
    <row r="77" spans="1:23" ht="13.5" customHeight="1">
      <c r="A77" s="273"/>
      <c r="B77" s="161"/>
      <c r="C77" s="246"/>
      <c r="D77" s="294"/>
      <c r="E77" s="295"/>
      <c r="F77" s="295"/>
      <c r="G77" s="296"/>
      <c r="H77" s="294"/>
      <c r="I77" s="295"/>
      <c r="J77" s="295"/>
      <c r="K77" s="296"/>
      <c r="L77" s="294"/>
      <c r="M77" s="295"/>
      <c r="N77" s="295"/>
      <c r="O77" s="296"/>
      <c r="P77" s="294"/>
      <c r="Q77" s="295"/>
      <c r="R77" s="295"/>
      <c r="S77" s="296"/>
      <c r="T77" s="294"/>
      <c r="U77" s="295"/>
      <c r="V77" s="295"/>
      <c r="W77" s="296"/>
    </row>
    <row r="78" spans="1:23" ht="13.5" customHeight="1">
      <c r="A78" s="273"/>
      <c r="B78" s="161"/>
      <c r="C78" s="246"/>
      <c r="D78" s="307">
        <v>250</v>
      </c>
      <c r="E78" s="253"/>
      <c r="F78" s="253"/>
      <c r="G78" s="254"/>
      <c r="H78" s="307" t="e">
        <f>#REF!*4</f>
        <v>#REF!</v>
      </c>
      <c r="I78" s="253"/>
      <c r="J78" s="253"/>
      <c r="K78" s="254"/>
      <c r="L78" s="305" t="e">
        <f>U5+5</f>
        <v>#REF!</v>
      </c>
      <c r="M78" s="253"/>
      <c r="N78" s="253"/>
      <c r="O78" s="254"/>
      <c r="P78" s="305" t="e">
        <f>U5</f>
        <v>#REF!</v>
      </c>
      <c r="Q78" s="253"/>
      <c r="R78" s="253"/>
      <c r="S78" s="254"/>
      <c r="T78" s="305" t="e">
        <f>L78</f>
        <v>#REF!</v>
      </c>
      <c r="U78" s="253"/>
      <c r="V78" s="253"/>
      <c r="W78" s="254"/>
    </row>
    <row r="79" spans="1:23" ht="13.5" customHeight="1">
      <c r="A79" s="273"/>
      <c r="B79" s="161"/>
      <c r="C79" s="246"/>
      <c r="D79" s="294"/>
      <c r="E79" s="295"/>
      <c r="F79" s="295"/>
      <c r="G79" s="296"/>
      <c r="H79" s="294"/>
      <c r="I79" s="295"/>
      <c r="J79" s="295"/>
      <c r="K79" s="296"/>
      <c r="L79" s="294"/>
      <c r="M79" s="295"/>
      <c r="N79" s="295"/>
      <c r="O79" s="296"/>
      <c r="P79" s="294"/>
      <c r="Q79" s="295"/>
      <c r="R79" s="295"/>
      <c r="S79" s="296"/>
      <c r="T79" s="294"/>
      <c r="U79" s="295"/>
      <c r="V79" s="295"/>
      <c r="W79" s="296"/>
    </row>
    <row r="80" spans="1:23" ht="13.5" customHeight="1">
      <c r="A80" s="273"/>
      <c r="B80" s="161"/>
      <c r="C80" s="246"/>
      <c r="D80" s="307"/>
      <c r="E80" s="253"/>
      <c r="F80" s="253"/>
      <c r="G80" s="254"/>
      <c r="H80" s="307"/>
      <c r="I80" s="253"/>
      <c r="J80" s="253"/>
      <c r="K80" s="254"/>
      <c r="L80" s="307"/>
      <c r="M80" s="253"/>
      <c r="N80" s="253"/>
      <c r="O80" s="254"/>
      <c r="P80" s="307"/>
      <c r="Q80" s="253"/>
      <c r="R80" s="253"/>
      <c r="S80" s="254"/>
      <c r="T80" s="307"/>
      <c r="U80" s="253"/>
      <c r="V80" s="253"/>
      <c r="W80" s="254"/>
    </row>
    <row r="81" spans="1:23" ht="13.5" customHeight="1">
      <c r="A81" s="273"/>
      <c r="B81" s="161"/>
      <c r="C81" s="246"/>
      <c r="D81" s="294"/>
      <c r="E81" s="295"/>
      <c r="F81" s="295"/>
      <c r="G81" s="296"/>
      <c r="H81" s="294"/>
      <c r="I81" s="295"/>
      <c r="J81" s="295"/>
      <c r="K81" s="296"/>
      <c r="L81" s="294"/>
      <c r="M81" s="295"/>
      <c r="N81" s="295"/>
      <c r="O81" s="296"/>
      <c r="P81" s="294"/>
      <c r="Q81" s="295"/>
      <c r="R81" s="295"/>
      <c r="S81" s="296"/>
      <c r="T81" s="294"/>
      <c r="U81" s="295"/>
      <c r="V81" s="295"/>
      <c r="W81" s="296"/>
    </row>
    <row r="82" spans="1:23" ht="13.5" customHeight="1">
      <c r="A82" s="273"/>
      <c r="B82" s="161"/>
      <c r="C82" s="246"/>
      <c r="D82" s="307"/>
      <c r="E82" s="253"/>
      <c r="F82" s="253"/>
      <c r="G82" s="254"/>
      <c r="H82" s="307"/>
      <c r="I82" s="253"/>
      <c r="J82" s="253"/>
      <c r="K82" s="254"/>
      <c r="L82" s="307"/>
      <c r="M82" s="253"/>
      <c r="N82" s="253"/>
      <c r="O82" s="254"/>
      <c r="P82" s="307"/>
      <c r="Q82" s="253"/>
      <c r="R82" s="253"/>
      <c r="S82" s="254"/>
      <c r="T82" s="307"/>
      <c r="U82" s="253"/>
      <c r="V82" s="253"/>
      <c r="W82" s="254"/>
    </row>
    <row r="83" spans="1:23" ht="13.5" customHeight="1">
      <c r="A83" s="273"/>
      <c r="B83" s="161"/>
      <c r="C83" s="246"/>
      <c r="D83" s="294"/>
      <c r="E83" s="295"/>
      <c r="F83" s="295"/>
      <c r="G83" s="296"/>
      <c r="H83" s="294"/>
      <c r="I83" s="295"/>
      <c r="J83" s="295"/>
      <c r="K83" s="296"/>
      <c r="L83" s="294"/>
      <c r="M83" s="295"/>
      <c r="N83" s="295"/>
      <c r="O83" s="296"/>
      <c r="P83" s="294"/>
      <c r="Q83" s="295"/>
      <c r="R83" s="295"/>
      <c r="S83" s="296"/>
      <c r="T83" s="294"/>
      <c r="U83" s="295"/>
      <c r="V83" s="295"/>
      <c r="W83" s="296"/>
    </row>
    <row r="84" spans="1:23" ht="13.5" customHeight="1">
      <c r="A84" s="273"/>
      <c r="B84" s="161"/>
      <c r="C84" s="246"/>
      <c r="D84" s="307"/>
      <c r="E84" s="253"/>
      <c r="F84" s="253"/>
      <c r="G84" s="254"/>
      <c r="H84" s="307"/>
      <c r="I84" s="253"/>
      <c r="J84" s="253"/>
      <c r="K84" s="254"/>
      <c r="L84" s="307"/>
      <c r="M84" s="253"/>
      <c r="N84" s="253"/>
      <c r="O84" s="254"/>
      <c r="P84" s="307"/>
      <c r="Q84" s="253"/>
      <c r="R84" s="253"/>
      <c r="S84" s="254"/>
      <c r="T84" s="307"/>
      <c r="U84" s="253"/>
      <c r="V84" s="253"/>
      <c r="W84" s="254"/>
    </row>
    <row r="85" spans="1:23" ht="13.5" customHeight="1">
      <c r="A85" s="294"/>
      <c r="B85" s="295"/>
      <c r="C85" s="296"/>
      <c r="D85" s="294"/>
      <c r="E85" s="295"/>
      <c r="F85" s="295"/>
      <c r="G85" s="296"/>
      <c r="H85" s="294"/>
      <c r="I85" s="295"/>
      <c r="J85" s="295"/>
      <c r="K85" s="296"/>
      <c r="L85" s="294"/>
      <c r="M85" s="295"/>
      <c r="N85" s="295"/>
      <c r="O85" s="296"/>
      <c r="P85" s="294"/>
      <c r="Q85" s="295"/>
      <c r="R85" s="295"/>
      <c r="S85" s="296"/>
      <c r="T85" s="294"/>
      <c r="U85" s="295"/>
      <c r="V85" s="295"/>
      <c r="W85" s="296"/>
    </row>
    <row r="86" spans="1:23" ht="13.5" customHeight="1"/>
    <row r="87" spans="1:23" ht="13.5" customHeight="1">
      <c r="A87" s="5" t="s">
        <v>222</v>
      </c>
    </row>
    <row r="88" spans="1:23" ht="13.5" customHeight="1"/>
    <row r="89" spans="1:23" ht="13.5" customHeight="1">
      <c r="A89" s="323" t="s">
        <v>223</v>
      </c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spans="1:23" ht="13.5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spans="1:23" ht="13.5" customHeight="1"/>
    <row r="92" spans="1:23" ht="13.5" customHeight="1">
      <c r="A92" s="5" t="s">
        <v>224</v>
      </c>
      <c r="B92" s="5" t="s">
        <v>225</v>
      </c>
    </row>
    <row r="93" spans="1:23" ht="13.5" customHeight="1">
      <c r="A93" s="5" t="s">
        <v>226</v>
      </c>
      <c r="B93" s="5" t="s">
        <v>227</v>
      </c>
    </row>
    <row r="94" spans="1:23" ht="13.5" customHeight="1">
      <c r="A94" s="5" t="s">
        <v>228</v>
      </c>
      <c r="B94" s="5" t="s">
        <v>229</v>
      </c>
    </row>
    <row r="95" spans="1:23" ht="13.5" customHeight="1"/>
    <row r="96" spans="1:23" ht="13.5" customHeight="1"/>
    <row r="97" spans="1:22" ht="13.5" customHeight="1">
      <c r="A97" s="5" t="s">
        <v>4</v>
      </c>
      <c r="C97" s="150"/>
      <c r="D97" s="150"/>
      <c r="E97" s="150"/>
      <c r="F97" s="150"/>
      <c r="N97" s="324" t="s">
        <v>230</v>
      </c>
      <c r="O97" s="161"/>
      <c r="P97" s="161"/>
      <c r="Q97" s="161"/>
      <c r="R97" s="150"/>
      <c r="S97" s="150"/>
      <c r="T97" s="150"/>
      <c r="U97" s="150"/>
      <c r="V97" s="150"/>
    </row>
  </sheetData>
  <mergeCells count="159">
    <mergeCell ref="R70:T71"/>
    <mergeCell ref="U70:W71"/>
    <mergeCell ref="L70:Q71"/>
    <mergeCell ref="A73:W74"/>
    <mergeCell ref="L76:O77"/>
    <mergeCell ref="P76:S77"/>
    <mergeCell ref="T76:W77"/>
    <mergeCell ref="P78:S79"/>
    <mergeCell ref="T78:W79"/>
    <mergeCell ref="F57:G58"/>
    <mergeCell ref="H57:O58"/>
    <mergeCell ref="A59:E60"/>
    <mergeCell ref="F59:H60"/>
    <mergeCell ref="K59:O60"/>
    <mergeCell ref="A61:E62"/>
    <mergeCell ref="F61:H62"/>
    <mergeCell ref="K61:O62"/>
    <mergeCell ref="A63:G64"/>
    <mergeCell ref="O63:O64"/>
    <mergeCell ref="F49:J50"/>
    <mergeCell ref="K49:M50"/>
    <mergeCell ref="F51:J52"/>
    <mergeCell ref="K51:M52"/>
    <mergeCell ref="A53:E54"/>
    <mergeCell ref="F53:G54"/>
    <mergeCell ref="H53:O54"/>
    <mergeCell ref="F55:G56"/>
    <mergeCell ref="H55:O56"/>
    <mergeCell ref="H41:J41"/>
    <mergeCell ref="L41:M41"/>
    <mergeCell ref="N41:P41"/>
    <mergeCell ref="A43:V44"/>
    <mergeCell ref="F45:J46"/>
    <mergeCell ref="R45:W46"/>
    <mergeCell ref="A45:E46"/>
    <mergeCell ref="A47:E48"/>
    <mergeCell ref="F47:J48"/>
    <mergeCell ref="L84:O85"/>
    <mergeCell ref="P84:S85"/>
    <mergeCell ref="T84:W85"/>
    <mergeCell ref="A89:W90"/>
    <mergeCell ref="N97:Q97"/>
    <mergeCell ref="L78:O79"/>
    <mergeCell ref="L80:O81"/>
    <mergeCell ref="P80:S81"/>
    <mergeCell ref="T80:W81"/>
    <mergeCell ref="L82:O83"/>
    <mergeCell ref="P82:S83"/>
    <mergeCell ref="T82:W83"/>
    <mergeCell ref="D80:G81"/>
    <mergeCell ref="H80:K81"/>
    <mergeCell ref="D82:G83"/>
    <mergeCell ref="H82:K83"/>
    <mergeCell ref="D84:G85"/>
    <mergeCell ref="H84:K85"/>
    <mergeCell ref="I63:I64"/>
    <mergeCell ref="J63:J64"/>
    <mergeCell ref="A76:C85"/>
    <mergeCell ref="D76:G77"/>
    <mergeCell ref="H76:K77"/>
    <mergeCell ref="D78:G79"/>
    <mergeCell ref="H78:K79"/>
    <mergeCell ref="F68:H69"/>
    <mergeCell ref="I68:K69"/>
    <mergeCell ref="A70:E71"/>
    <mergeCell ref="F70:H71"/>
    <mergeCell ref="I70:K71"/>
    <mergeCell ref="A37:G39"/>
    <mergeCell ref="H37:I37"/>
    <mergeCell ref="J37:W37"/>
    <mergeCell ref="H38:I38"/>
    <mergeCell ref="J38:W38"/>
    <mergeCell ref="H39:I39"/>
    <mergeCell ref="J39:W39"/>
    <mergeCell ref="L68:Q69"/>
    <mergeCell ref="R68:T69"/>
    <mergeCell ref="L63:L64"/>
    <mergeCell ref="M63:M64"/>
    <mergeCell ref="P63:R64"/>
    <mergeCell ref="S63:S64"/>
    <mergeCell ref="T63:W64"/>
    <mergeCell ref="A66:W67"/>
    <mergeCell ref="A68:E69"/>
    <mergeCell ref="U68:W69"/>
    <mergeCell ref="K45:L46"/>
    <mergeCell ref="M45:N46"/>
    <mergeCell ref="K47:M48"/>
    <mergeCell ref="R47:W48"/>
    <mergeCell ref="R49:W50"/>
    <mergeCell ref="R51:W52"/>
    <mergeCell ref="B41:G41"/>
    <mergeCell ref="D1:T3"/>
    <mergeCell ref="U1:W3"/>
    <mergeCell ref="C5:H6"/>
    <mergeCell ref="L5:M6"/>
    <mergeCell ref="O5:P5"/>
    <mergeCell ref="Q5:R6"/>
    <mergeCell ref="A9:W9"/>
    <mergeCell ref="A1:C3"/>
    <mergeCell ref="A11:D12"/>
    <mergeCell ref="E11:H12"/>
    <mergeCell ref="I11:L12"/>
    <mergeCell ref="A33:E34"/>
    <mergeCell ref="F33:G34"/>
    <mergeCell ref="H33:I34"/>
    <mergeCell ref="J33:K34"/>
    <mergeCell ref="L33:O34"/>
    <mergeCell ref="P33:S34"/>
    <mergeCell ref="T33:W34"/>
    <mergeCell ref="S5:S6"/>
    <mergeCell ref="U5:V6"/>
    <mergeCell ref="M11:R12"/>
    <mergeCell ref="S11:W12"/>
    <mergeCell ref="M13:R14"/>
    <mergeCell ref="S13:W14"/>
    <mergeCell ref="A13:D14"/>
    <mergeCell ref="E13:H14"/>
    <mergeCell ref="I13:L14"/>
    <mergeCell ref="A15:D16"/>
    <mergeCell ref="E15:H16"/>
    <mergeCell ref="I15:L16"/>
    <mergeCell ref="M15:R16"/>
    <mergeCell ref="S15:W16"/>
    <mergeCell ref="E17:H18"/>
    <mergeCell ref="S17:W18"/>
    <mergeCell ref="P25:S26"/>
    <mergeCell ref="A29:E30"/>
    <mergeCell ref="F29:G30"/>
    <mergeCell ref="H29:I30"/>
    <mergeCell ref="J29:K30"/>
    <mergeCell ref="L29:O30"/>
    <mergeCell ref="P29:S30"/>
    <mergeCell ref="T29:W30"/>
    <mergeCell ref="A31:E32"/>
    <mergeCell ref="F31:G32"/>
    <mergeCell ref="H31:I32"/>
    <mergeCell ref="J31:K32"/>
    <mergeCell ref="L31:O32"/>
    <mergeCell ref="P31:S32"/>
    <mergeCell ref="T31:W32"/>
    <mergeCell ref="A25:K26"/>
    <mergeCell ref="L25:O26"/>
    <mergeCell ref="A27:E28"/>
    <mergeCell ref="F27:G28"/>
    <mergeCell ref="H27:I28"/>
    <mergeCell ref="J27:K28"/>
    <mergeCell ref="L27:O28"/>
    <mergeCell ref="P27:S28"/>
    <mergeCell ref="T27:W28"/>
    <mergeCell ref="T25:W26"/>
    <mergeCell ref="A17:D18"/>
    <mergeCell ref="A19:D20"/>
    <mergeCell ref="E19:H20"/>
    <mergeCell ref="I19:L20"/>
    <mergeCell ref="I17:L18"/>
    <mergeCell ref="M17:R18"/>
    <mergeCell ref="M19:R20"/>
    <mergeCell ref="S19:W20"/>
    <mergeCell ref="A22:W23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MBC1</vt:lpstr>
      <vt:lpstr>tr1</vt:lpstr>
      <vt:lpstr>RBC1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Dynabook</cp:lastModifiedBy>
  <dcterms:created xsi:type="dcterms:W3CDTF">2026-08-16T17:30:04Z</dcterms:created>
  <dcterms:modified xsi:type="dcterms:W3CDTF">2026-08-16T17:30:04Z</dcterms:modified>
</cp:coreProperties>
</file>